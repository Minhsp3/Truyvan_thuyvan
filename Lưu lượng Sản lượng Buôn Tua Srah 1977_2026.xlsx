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3F998DDF-D102-4CA1-995D-BC47C9FED6B2}" xr6:coauthVersionLast="47" xr6:coauthVersionMax="47" xr10:uidLastSave="{00000000-0000-0000-0000-000000000000}"/>
  <bookViews>
    <workbookView xWindow="-28920" yWindow="-1575" windowWidth="29040" windowHeight="15960" xr2:uid="{C165E8D0-C032-438C-AC6C-C00CEECF28F5}"/>
  </bookViews>
  <sheets>
    <sheet name="BT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9" i="2" l="1"/>
  <c r="O3" i="2"/>
  <c r="O5" i="2"/>
  <c r="O49" i="2"/>
  <c r="O35" i="2"/>
  <c r="O6" i="2"/>
  <c r="O10" i="2"/>
  <c r="O19" i="2"/>
  <c r="O22" i="2"/>
  <c r="O26" i="2"/>
  <c r="O38" i="2"/>
  <c r="O32" i="2"/>
  <c r="O48" i="2"/>
  <c r="O41" i="2"/>
  <c r="O45" i="2"/>
  <c r="O21" i="2"/>
  <c r="O37" i="2"/>
  <c r="O30" i="2"/>
  <c r="O24" i="2"/>
  <c r="O46" i="2"/>
  <c r="O18" i="2"/>
  <c r="O29" i="2"/>
  <c r="O34" i="2"/>
  <c r="O12" i="2"/>
  <c r="O23" i="2"/>
  <c r="O50" i="2"/>
  <c r="O16" i="2"/>
  <c r="O27" i="2"/>
  <c r="O43" i="2"/>
  <c r="O31" i="2"/>
  <c r="O42" i="2"/>
  <c r="O14" i="2"/>
  <c r="O4" i="2"/>
  <c r="O8" i="2"/>
  <c r="O13" i="2"/>
  <c r="O36" i="2"/>
  <c r="O40" i="2"/>
  <c r="O7" i="2"/>
  <c r="O11" i="2"/>
  <c r="O17" i="2"/>
  <c r="O28" i="2"/>
  <c r="O39" i="2"/>
  <c r="O15" i="2"/>
  <c r="O25" i="2"/>
  <c r="O47" i="2"/>
  <c r="O20" i="2"/>
  <c r="O33" i="2"/>
  <c r="O44" i="2"/>
</calcChain>
</file>

<file path=xl/sharedStrings.xml><?xml version="1.0" encoding="utf-8"?>
<sst xmlns="http://schemas.openxmlformats.org/spreadsheetml/2006/main" count="7" uniqueCount="7">
  <si>
    <t>Sản lượng [tr.kwh]</t>
  </si>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</sst>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3" fillId="0" borderId="1" xfId="0" applyFont="1" applyBorder="1"/>
    <xf numFmtId="165" fontId="0" fillId="0" borderId="2" xfId="0" applyNumberFormat="1" applyBorder="1"/>
    <xf numFmtId="165" fontId="0" fillId="0" borderId="3" xfId="1" applyNumberFormat="1" applyFont="1" applyBorder="1" applyAlignment="1">
      <alignment horizontal="right"/>
    </xf>
    <xf numFmtId="0" fontId="3" fillId="0" borderId="4" xfId="0" applyFont="1" applyBorder="1"/>
    <xf numFmtId="165" fontId="0" fillId="0" borderId="5" xfId="1" applyNumberFormat="1" applyFont="1" applyBorder="1"/>
    <xf numFmtId="0" fontId="3" fillId="0" borderId="6" xfId="0" applyFont="1" applyBorder="1"/>
    <xf numFmtId="165" fontId="0" fillId="0" borderId="7" xfId="0" applyNumberFormat="1" applyBorder="1"/>
    <xf numFmtId="165" fontId="0" fillId="0" borderId="8" xfId="1" applyNumberFormat="1" applyFont="1" applyBorder="1"/>
    <xf numFmtId="0" fontId="6" fillId="0" borderId="0" xfId="0" applyFont="1"/>
    <xf numFmtId="165" fontId="0" fillId="0" borderId="0" xfId="1" applyNumberFormat="1" applyFont="1" applyBorder="1"/>
    <xf numFmtId="0" fontId="4" fillId="0" borderId="0" xfId="0" applyFont="1"/>
    <xf numFmtId="165" fontId="7" fillId="0" borderId="0" xfId="0" applyNumberFormat="1" applyFont="1"/>
    <xf numFmtId="165" fontId="7" fillId="0" borderId="0" xfId="1" applyNumberFormat="1" applyFont="1"/>
    <xf numFmtId="165" fontId="2" fillId="0" borderId="0" xfId="0" applyNumberFormat="1" applyFont="1"/>
    <xf numFmtId="165" fontId="7" fillId="0" borderId="0" xfId="1" applyNumberFormat="1" applyFont="1" applyBorder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  <cell r="D3">
            <v>13.233499999999999</v>
          </cell>
          <cell r="E3">
            <v>32.383919999999989</v>
          </cell>
          <cell r="F3">
            <v>22.10473</v>
          </cell>
          <cell r="G3">
            <v>13.201589999999999</v>
          </cell>
          <cell r="H3">
            <v>23.40821</v>
          </cell>
          <cell r="I3">
            <v>26.187750000000001</v>
          </cell>
          <cell r="J3">
            <v>32.645659999999999</v>
          </cell>
          <cell r="K3">
            <v>24.484770000000001</v>
          </cell>
          <cell r="L3">
            <v>57.841043999999997</v>
          </cell>
          <cell r="M3">
            <v>40.546990000000001</v>
          </cell>
          <cell r="N3">
            <v>35.038040000000002</v>
          </cell>
        </row>
      </sheetData>
      <sheetData sheetId="1">
        <row r="3">
          <cell r="C3">
            <v>17.593199999999996</v>
          </cell>
          <cell r="D3">
            <v>24.945170000000036</v>
          </cell>
          <cell r="E3">
            <v>30.776419999999984</v>
          </cell>
          <cell r="F3">
            <v>18.331620000000012</v>
          </cell>
          <cell r="G3">
            <v>32.240810000000003</v>
          </cell>
          <cell r="H3">
            <v>18.239860000000004</v>
          </cell>
          <cell r="I3">
            <v>23.386310000000002</v>
          </cell>
          <cell r="J3">
            <v>24.5884</v>
          </cell>
          <cell r="K3">
            <v>20.333479999999973</v>
          </cell>
          <cell r="L3">
            <v>61.827579999999998</v>
          </cell>
          <cell r="M3">
            <v>45.540440000000011</v>
          </cell>
          <cell r="N3">
            <v>26.213860000000061</v>
          </cell>
        </row>
      </sheetData>
      <sheetData sheetId="2">
        <row r="3">
          <cell r="C3">
            <v>14.871199999999954</v>
          </cell>
          <cell r="D3">
            <v>12.562000000000058</v>
          </cell>
          <cell r="E3">
            <v>19.831499999999998</v>
          </cell>
          <cell r="F3">
            <v>15.300799999999988</v>
          </cell>
          <cell r="G3">
            <v>14.842599999999917</v>
          </cell>
          <cell r="H3">
            <v>25.203587000000027</v>
          </cell>
          <cell r="I3">
            <v>28.08679999999999</v>
          </cell>
          <cell r="J3">
            <v>28.797600000000035</v>
          </cell>
          <cell r="K3">
            <v>27.668199999999956</v>
          </cell>
          <cell r="L3">
            <v>52.665999999999997</v>
          </cell>
          <cell r="M3">
            <v>29.38620000000007</v>
          </cell>
          <cell r="N3">
            <v>23.657800000000044</v>
          </cell>
        </row>
      </sheetData>
      <sheetData sheetId="3">
        <row r="3">
          <cell r="C3">
            <v>25.792999999999999</v>
          </cell>
          <cell r="D3">
            <v>25.095699999999955</v>
          </cell>
          <cell r="E3">
            <v>29.489099999999979</v>
          </cell>
          <cell r="F3">
            <v>14.045010000000008</v>
          </cell>
          <cell r="G3">
            <v>10.383187</v>
          </cell>
          <cell r="H3">
            <v>19.245000000000001</v>
          </cell>
          <cell r="I3">
            <v>42.027600000000092</v>
          </cell>
          <cell r="J3">
            <v>38.610900000000022</v>
          </cell>
          <cell r="K3">
            <v>32.21689999999991</v>
          </cell>
          <cell r="L3">
            <v>50.42570000000007</v>
          </cell>
          <cell r="M3">
            <v>17.23429999999993</v>
          </cell>
          <cell r="N3">
            <v>17.038914999999978</v>
          </cell>
        </row>
      </sheetData>
      <sheetData sheetId="4">
        <row r="3">
          <cell r="C3">
            <v>19.655700000000071</v>
          </cell>
          <cell r="D3">
            <v>16.195399999999907</v>
          </cell>
          <cell r="E3">
            <v>21.992599999999978</v>
          </cell>
          <cell r="F3">
            <v>19.548800000000163</v>
          </cell>
          <cell r="G3">
            <v>14.585599999999861</v>
          </cell>
          <cell r="H3">
            <v>16.866854000000092</v>
          </cell>
          <cell r="I3">
            <v>30.453499999999998</v>
          </cell>
          <cell r="J3">
            <v>23.635599999999979</v>
          </cell>
          <cell r="K3">
            <v>10.946999999999999</v>
          </cell>
          <cell r="L3">
            <v>5.6862000000000696</v>
          </cell>
          <cell r="M3">
            <v>6.8305999999999765</v>
          </cell>
          <cell r="N3">
            <v>11.53079999999993</v>
          </cell>
        </row>
      </sheetData>
      <sheetData sheetId="5">
        <row r="3">
          <cell r="C3">
            <v>20.582000000000001</v>
          </cell>
          <cell r="D3">
            <v>14.816299999999929</v>
          </cell>
          <cell r="E3">
            <v>17.285700000000066</v>
          </cell>
          <cell r="F3">
            <v>16.085000000000001</v>
          </cell>
          <cell r="G3">
            <v>14.919699999999953</v>
          </cell>
          <cell r="H3">
            <v>13.799793000000115</v>
          </cell>
          <cell r="I3">
            <v>24.193314999999945</v>
          </cell>
          <cell r="J3">
            <v>24.424043999999991</v>
          </cell>
          <cell r="K3">
            <v>11.858167000000014</v>
          </cell>
          <cell r="L3">
            <v>39.069295000000047</v>
          </cell>
          <cell r="M3">
            <v>50.507664999999918</v>
          </cell>
          <cell r="N3">
            <v>46.910890000000137</v>
          </cell>
        </row>
      </sheetData>
      <sheetData sheetId="6">
        <row r="3">
          <cell r="C3">
            <v>31.364885999999821</v>
          </cell>
          <cell r="D3">
            <v>21.604490000000109</v>
          </cell>
          <cell r="E3">
            <v>24.754403000000053</v>
          </cell>
          <cell r="F3">
            <v>30.05861999999988</v>
          </cell>
          <cell r="G3">
            <v>35.617789999999928</v>
          </cell>
          <cell r="H3">
            <v>49.377231000000151</v>
          </cell>
          <cell r="I3">
            <v>26.841631999999986</v>
          </cell>
          <cell r="J3">
            <v>41.75631599999987</v>
          </cell>
          <cell r="K3">
            <v>61.071907000000117</v>
          </cell>
          <cell r="L3">
            <v>55.999551999999909</v>
          </cell>
          <cell r="M3">
            <v>54.194130000000122</v>
          </cell>
          <cell r="N3">
            <v>41.483336999999821</v>
          </cell>
        </row>
      </sheetData>
      <sheetData sheetId="7">
        <row r="3">
          <cell r="C3">
            <v>29.766293000000065</v>
          </cell>
          <cell r="D3">
            <v>25.200817000000271</v>
          </cell>
          <cell r="E3">
            <v>30.107095999999903</v>
          </cell>
          <cell r="F3">
            <v>24.195173</v>
          </cell>
          <cell r="G3">
            <v>15.153889999999665</v>
          </cell>
          <cell r="H3">
            <v>20.327558000000217</v>
          </cell>
          <cell r="I3">
            <v>30.515135000000242</v>
          </cell>
          <cell r="J3">
            <v>39.907780000000031</v>
          </cell>
          <cell r="K3">
            <v>53.387756999999745</v>
          </cell>
          <cell r="L3">
            <v>57.173652000000239</v>
          </cell>
          <cell r="M3">
            <v>24.243526999999769</v>
          </cell>
          <cell r="N3">
            <v>27.942357999999999</v>
          </cell>
        </row>
      </sheetData>
      <sheetData sheetId="8">
        <row r="3">
          <cell r="C3">
            <v>22.552581999999937</v>
          </cell>
          <cell r="D3">
            <v>20.843499000000065</v>
          </cell>
          <cell r="E3">
            <v>29.454128999999956</v>
          </cell>
          <cell r="F3">
            <v>20.305261000000172</v>
          </cell>
          <cell r="G3">
            <v>13.686037000000011</v>
          </cell>
          <cell r="H3">
            <v>10.809938999999796</v>
          </cell>
          <cell r="I3">
            <v>12.072376000000164</v>
          </cell>
          <cell r="J3">
            <v>35.882240999999922</v>
          </cell>
          <cell r="K3">
            <v>30.512249000000068</v>
          </cell>
          <cell r="L3">
            <v>41.633333999999998</v>
          </cell>
          <cell r="M3">
            <v>47.532623000000001</v>
          </cell>
          <cell r="N3">
            <v>24.291547999999953</v>
          </cell>
        </row>
      </sheetData>
      <sheetData sheetId="9">
        <row r="3">
          <cell r="C3">
            <v>24.566246999999972</v>
          </cell>
          <cell r="D3">
            <v>22.680795000000156</v>
          </cell>
          <cell r="E3">
            <v>25.492474999999857</v>
          </cell>
          <cell r="F3">
            <v>14.732552000000142</v>
          </cell>
          <cell r="G3">
            <v>13.924613000000001</v>
          </cell>
          <cell r="H3">
            <v>10.573797000000253</v>
          </cell>
          <cell r="I3">
            <v>21.065653000000001</v>
          </cell>
          <cell r="J3">
            <v>36.94277800000016</v>
          </cell>
          <cell r="K3">
            <v>37.933302999999839</v>
          </cell>
          <cell r="L3">
            <v>22.716196000000231</v>
          </cell>
          <cell r="M3">
            <v>46.793722000000066</v>
          </cell>
          <cell r="N3">
            <v>43.477064999999939</v>
          </cell>
        </row>
      </sheetData>
      <sheetData sheetId="10">
        <row r="3">
          <cell r="C3">
            <v>29.164321999999927</v>
          </cell>
          <cell r="D3">
            <v>26.659041999999904</v>
          </cell>
          <cell r="E3">
            <v>29.322748000000139</v>
          </cell>
          <cell r="F3">
            <v>17.608156999999888</v>
          </cell>
          <cell r="G3">
            <v>14.82469700000016</v>
          </cell>
          <cell r="H3">
            <v>11.728076999999816</v>
          </cell>
          <cell r="I3">
            <v>19.794796000000261</v>
          </cell>
          <cell r="J3">
            <v>20.40146099999966</v>
          </cell>
          <cell r="K3">
            <v>26.350116000000156</v>
          </cell>
          <cell r="L3">
            <v>44.472706000000002</v>
          </cell>
          <cell r="M3">
            <v>56.895757999999908</v>
          </cell>
          <cell r="N3">
            <v>42.598993999999948</v>
          </cell>
        </row>
      </sheetData>
      <sheetData sheetId="11">
        <row r="3">
          <cell r="C3">
            <v>33.846495199999993</v>
          </cell>
          <cell r="D3">
            <v>26.111034599999996</v>
          </cell>
          <cell r="E3">
            <v>29.464168099999998</v>
          </cell>
          <cell r="F3">
            <v>23.123994499999998</v>
          </cell>
          <cell r="G3">
            <v>24.264119900000001</v>
          </cell>
          <cell r="H3">
            <v>19.669999300000001</v>
          </cell>
          <cell r="I3">
            <v>33.584182800000008</v>
          </cell>
          <cell r="J3">
            <v>33.5064724</v>
          </cell>
          <cell r="K3">
            <v>49.386004699999994</v>
          </cell>
          <cell r="L3">
            <v>50.809693500000002</v>
          </cell>
          <cell r="M3">
            <v>38.933323999999999</v>
          </cell>
          <cell r="N3">
            <v>26.922136399999999</v>
          </cell>
        </row>
      </sheetData>
      <sheetData sheetId="12">
        <row r="3">
          <cell r="C3">
            <v>26.196023199999999</v>
          </cell>
          <cell r="D3">
            <v>28.2093384</v>
          </cell>
          <cell r="E3">
            <v>28.871705800000001</v>
          </cell>
          <cell r="F3">
            <v>23.975395199999998</v>
          </cell>
          <cell r="G3">
            <v>7.3071524999999999</v>
          </cell>
          <cell r="H3">
            <v>18.939633699999998</v>
          </cell>
          <cell r="I3">
            <v>27.245995299999997</v>
          </cell>
          <cell r="J3">
            <v>42.153500099999995</v>
          </cell>
          <cell r="K3">
            <v>60.6046391</v>
          </cell>
          <cell r="L3">
            <v>53.143639999999998</v>
          </cell>
          <cell r="M3">
            <v>42.165509899999996</v>
          </cell>
          <cell r="N3">
            <v>31.564488900000001</v>
          </cell>
        </row>
      </sheetData>
      <sheetData sheetId="13">
        <row r="3">
          <cell r="C3">
            <v>27.937671999999999</v>
          </cell>
          <cell r="D3">
            <v>20.617661599999998</v>
          </cell>
          <cell r="E3">
            <v>18.585530500000001</v>
          </cell>
          <cell r="F3">
            <v>17.219771600000001</v>
          </cell>
          <cell r="G3">
            <v>15.0814433</v>
          </cell>
          <cell r="H3">
            <v>23.646055400000002</v>
          </cell>
          <cell r="I3">
            <v>25.2517505</v>
          </cell>
          <cell r="J3">
            <v>41.779785799999999</v>
          </cell>
          <cell r="K3">
            <v>44.453589399999998</v>
          </cell>
          <cell r="L3">
            <v>55.450868700000001</v>
          </cell>
          <cell r="M3">
            <v>34.919919800000002</v>
          </cell>
          <cell r="N3">
            <v>19.430500599999998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C0F6-95C9-4EEE-8278-0B2FB411F07A}">
  <dimension ref="A1:AF81"/>
  <sheetViews>
    <sheetView tabSelected="1" workbookViewId="0">
      <pane xSplit="2" ySplit="2" topLeftCell="C34" activePane="bottomRight" state="frozen"/>
      <selection pane="topRight" activeCell="C1" sqref="C1"/>
      <selection pane="bottomLeft" activeCell="A3" sqref="A3"/>
      <selection pane="bottomRight" activeCell="K53" sqref="K53"/>
    </sheetView>
  </sheetViews>
  <sheetFormatPr defaultRowHeight="14.25" x14ac:dyDescent="0.2"/>
  <cols>
    <col min="3" max="3" width="9.625" bestFit="1" customWidth="1"/>
  </cols>
  <sheetData>
    <row r="1" spans="1:32" ht="15" x14ac:dyDescent="0.25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Q1" s="25" t="s">
        <v>1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32" ht="15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2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3">
        <v>9</v>
      </c>
      <c r="Z2" s="3">
        <v>10</v>
      </c>
      <c r="AA2" s="3">
        <v>11</v>
      </c>
      <c r="AB2" s="3">
        <v>12</v>
      </c>
      <c r="AD2" t="s">
        <v>3</v>
      </c>
      <c r="AE2" s="3">
        <v>8.8800000000000008</v>
      </c>
      <c r="AF2" s="4" t="s">
        <v>4</v>
      </c>
    </row>
    <row r="3" spans="1:32" x14ac:dyDescent="0.2">
      <c r="B3">
        <v>1977</v>
      </c>
      <c r="C3" s="5">
        <f t="shared" ref="C3:C36" si="0">IF(Q3*DAY(EOMONTH(DATE($B3,$C$2,1),0))*24*3600/$AE$2/10^6&gt;$AE$3,$AE$3,Q3*DAY(EOMONTH(DATE($B3,$C$2,1),0))*24*3600/$AE$2/10^6)</f>
        <v>11.642594594594595</v>
      </c>
      <c r="D3" s="5">
        <f t="shared" ref="D3:D36" si="1">IF(R3*DAY(EOMONTH(DATE($B3,$D$2,1),0))*24*3600/$AE$2/10^6&gt;$AE$3,$AE$3,R3*DAY(EOMONTH(DATE($B3,$D$2,1),0))*24*3600/$AE$2/10^6)</f>
        <v>7.3284324324324315</v>
      </c>
      <c r="E3" s="5">
        <f t="shared" ref="E3:E36" si="2">IF(S3*DAY(EOMONTH(DATE($B3,$E$2,1),0))*24*3600/$AE$2/10^6&gt;$AE$3,$AE$3,S3*DAY(EOMONTH(DATE($B3,$E$2,1),0))*24*3600/$AE$2/10^6)</f>
        <v>5.4895135135135131</v>
      </c>
      <c r="F3" s="5">
        <f t="shared" ref="F3:F36" si="3">IF(T3*DAY(EOMONTH(DATE($B3,$F$2,1),0))*24*3600/$AE$2/10^6&gt;$AE$3,$AE$3,T3*DAY(EOMONTH(DATE($B3,$F$2,1),0))*24*3600/$AE$2/10^6)</f>
        <v>3.6486486486486487</v>
      </c>
      <c r="G3" s="5">
        <f t="shared" ref="G3:G36" si="4">IF(U3*DAY(EOMONTH(DATE($B3,$G$2,1),0))*24*3600/$AE$2/10^6&gt;$AE$3,$AE$3,U3*DAY(EOMONTH(DATE($B3,$G$2,1),0))*24*3600/$AE$2/10^6)</f>
        <v>5.2180540540540532</v>
      </c>
      <c r="H3" s="5">
        <f t="shared" ref="H3:H36" si="5">IF(V3*DAY(EOMONTH(DATE($B3,$H$2,1),0))*24*3600/$AE$2/10^6&gt;$AE$3,$AE$3,V3*DAY(EOMONTH(DATE($B3,$H$2,1),0))*24*3600/$AE$2/10^6)</f>
        <v>4.2032432432432429</v>
      </c>
      <c r="I3" s="5">
        <f t="shared" ref="I3:I36" si="6">IF(W3*DAY(EOMONTH(DATE($B3,$I$2,1),0))*24*3600/$AE$2/10^6&gt;$AE$3,$AE$3,W3*DAY(EOMONTH(DATE($B3,$I$2,1),0))*24*3600/$AE$2/10^6)</f>
        <v>14.779459459459458</v>
      </c>
      <c r="J3" s="5">
        <f t="shared" ref="J3:J36" si="7">IF(X3*DAY(EOMONTH(DATE($B3,$J$2,1),0))*24*3600/$AE$2/10^6&gt;$AE$3,$AE$3,X3*DAY(EOMONTH(DATE($B3,$J$2,1),0))*24*3600/$AE$2/10^6)</f>
        <v>14.930270270270269</v>
      </c>
      <c r="K3" s="5">
        <f t="shared" ref="K3:K36" si="8">IF(Y3*DAY(EOMONTH(DATE($B3,$K$2,1),0))*24*3600/$AE$2/10^6&gt;$AE$3,$AE$3,Y3*DAY(EOMONTH(DATE($B3,$K$2,1),0))*24*3600/$AE$2/10^6)</f>
        <v>48.454054054054055</v>
      </c>
      <c r="L3" s="5">
        <f t="shared" ref="L3:L36" si="9">IF(Z3*DAY(EOMONTH(DATE($B3,$L$2,1),0))*24*3600/$AE$2/10^6&gt;$AE$3,$AE$3,Z3*DAY(EOMONTH(DATE($B3,$L$2,1),0))*24*3600/$AE$2/10^6)</f>
        <v>46.449729729729725</v>
      </c>
      <c r="M3" s="5">
        <f t="shared" ref="M3:M36" si="10">IF(AA3*DAY(EOMONTH(DATE($B3,$M$2,1),0))*24*3600/$AE$2/10^6&gt;$AE$3,$AE$3,AA3*DAY(EOMONTH(DATE($B3,$M$2,1),0))*24*3600/$AE$2/10^6)</f>
        <v>25.744864864864862</v>
      </c>
      <c r="N3" s="5">
        <f t="shared" ref="N3:N36" si="11">IF(AB3*DAY(EOMONTH(DATE($B3,$N$2,1),0))*24*3600/$AE$2/10^6&gt;$AE$3,$AE$3,AB3*DAY(EOMONTH(DATE($B3,$N$2,1),0))*24*3600/$AE$2/10^6)</f>
        <v>13.271351351351351</v>
      </c>
      <c r="O3" s="6">
        <f>SUM(C3:N3)</f>
        <v>201.16021621621621</v>
      </c>
      <c r="Q3">
        <v>38.6</v>
      </c>
      <c r="R3">
        <v>26.9</v>
      </c>
      <c r="S3">
        <v>18.2</v>
      </c>
      <c r="T3">
        <v>12.5</v>
      </c>
      <c r="U3">
        <v>17.3</v>
      </c>
      <c r="V3">
        <v>14.4</v>
      </c>
      <c r="W3">
        <v>49</v>
      </c>
      <c r="X3">
        <v>49.5</v>
      </c>
      <c r="Y3">
        <v>166</v>
      </c>
      <c r="Z3">
        <v>154</v>
      </c>
      <c r="AA3">
        <v>88.2</v>
      </c>
      <c r="AB3">
        <v>44</v>
      </c>
      <c r="AD3" t="s">
        <v>5</v>
      </c>
      <c r="AE3">
        <v>61.07</v>
      </c>
      <c r="AF3" s="4" t="s">
        <v>6</v>
      </c>
    </row>
    <row r="4" spans="1:32" x14ac:dyDescent="0.2">
      <c r="B4">
        <v>1978</v>
      </c>
      <c r="C4" s="5">
        <f t="shared" si="0"/>
        <v>6.937297297297297</v>
      </c>
      <c r="D4" s="5">
        <f t="shared" si="1"/>
        <v>4.4134054054054053</v>
      </c>
      <c r="E4" s="5">
        <f t="shared" si="2"/>
        <v>4.5544864864864865</v>
      </c>
      <c r="F4" s="5">
        <f t="shared" si="3"/>
        <v>4.2908108108108109</v>
      </c>
      <c r="G4" s="5">
        <f t="shared" si="4"/>
        <v>8.9883243243243225</v>
      </c>
      <c r="H4" s="5">
        <f t="shared" si="5"/>
        <v>9.0486486486486477</v>
      </c>
      <c r="I4" s="5">
        <f t="shared" si="6"/>
        <v>22.681945945945944</v>
      </c>
      <c r="J4" s="5">
        <f t="shared" si="7"/>
        <v>59.117837837837833</v>
      </c>
      <c r="K4" s="5">
        <f t="shared" si="8"/>
        <v>61.07</v>
      </c>
      <c r="L4" s="5">
        <f t="shared" si="9"/>
        <v>61.07</v>
      </c>
      <c r="M4" s="5">
        <f t="shared" si="10"/>
        <v>42.324324324324316</v>
      </c>
      <c r="N4" s="5">
        <f t="shared" si="11"/>
        <v>18.881513513513514</v>
      </c>
      <c r="O4" s="6">
        <f t="shared" ref="O4:O36" si="12">SUM(C4:N4)</f>
        <v>303.37859459459457</v>
      </c>
      <c r="Q4">
        <v>23</v>
      </c>
      <c r="R4">
        <v>16.2</v>
      </c>
      <c r="S4">
        <v>15.1</v>
      </c>
      <c r="T4">
        <v>14.7</v>
      </c>
      <c r="U4">
        <v>29.8</v>
      </c>
      <c r="V4">
        <v>31</v>
      </c>
      <c r="W4">
        <v>75.2</v>
      </c>
      <c r="X4">
        <v>196</v>
      </c>
      <c r="Y4">
        <v>225</v>
      </c>
      <c r="Z4">
        <v>275</v>
      </c>
      <c r="AA4">
        <v>145</v>
      </c>
      <c r="AB4">
        <v>62.6</v>
      </c>
    </row>
    <row r="5" spans="1:32" x14ac:dyDescent="0.2">
      <c r="B5">
        <v>1979</v>
      </c>
      <c r="C5" s="5">
        <f t="shared" si="0"/>
        <v>11.159999999999998</v>
      </c>
      <c r="D5" s="5">
        <f t="shared" si="1"/>
        <v>7.3284324324324315</v>
      </c>
      <c r="E5" s="5">
        <f t="shared" si="2"/>
        <v>6.4848648648648641</v>
      </c>
      <c r="F5" s="5">
        <f t="shared" si="3"/>
        <v>7.5308108108108103</v>
      </c>
      <c r="G5" s="5">
        <f t="shared" si="4"/>
        <v>10.526594594594593</v>
      </c>
      <c r="H5" s="5">
        <f t="shared" si="5"/>
        <v>25.803243243243241</v>
      </c>
      <c r="I5" s="5">
        <f t="shared" si="6"/>
        <v>49.767567567567568</v>
      </c>
      <c r="J5" s="5">
        <f t="shared" si="7"/>
        <v>61.07</v>
      </c>
      <c r="K5" s="5">
        <f t="shared" si="8"/>
        <v>37.65405405405405</v>
      </c>
      <c r="L5" s="5">
        <f t="shared" si="9"/>
        <v>61.07</v>
      </c>
      <c r="M5" s="5">
        <f t="shared" si="10"/>
        <v>43.783783783783775</v>
      </c>
      <c r="N5" s="5">
        <f t="shared" si="11"/>
        <v>24.491675675675676</v>
      </c>
      <c r="O5" s="6">
        <f t="shared" si="12"/>
        <v>346.67102702702698</v>
      </c>
      <c r="Q5">
        <v>37</v>
      </c>
      <c r="R5">
        <v>26.9</v>
      </c>
      <c r="S5">
        <v>21.5</v>
      </c>
      <c r="T5">
        <v>25.8</v>
      </c>
      <c r="U5">
        <v>34.9</v>
      </c>
      <c r="V5">
        <v>88.4</v>
      </c>
      <c r="W5">
        <v>165</v>
      </c>
      <c r="X5">
        <v>244</v>
      </c>
      <c r="Y5">
        <v>129</v>
      </c>
      <c r="Z5">
        <v>209</v>
      </c>
      <c r="AA5">
        <v>150</v>
      </c>
      <c r="AB5">
        <v>81.2</v>
      </c>
    </row>
    <row r="6" spans="1:32" x14ac:dyDescent="0.2">
      <c r="A6" s="7"/>
      <c r="B6">
        <v>1980</v>
      </c>
      <c r="C6" s="5">
        <f t="shared" si="0"/>
        <v>17.192432432432433</v>
      </c>
      <c r="D6" s="5">
        <f t="shared" si="1"/>
        <v>11.08897297297297</v>
      </c>
      <c r="E6" s="5">
        <f t="shared" si="2"/>
        <v>8.5358918918918913</v>
      </c>
      <c r="F6" s="5">
        <f t="shared" si="3"/>
        <v>8.2313513513513499</v>
      </c>
      <c r="G6" s="5">
        <f t="shared" si="4"/>
        <v>14.2667027027027</v>
      </c>
      <c r="H6" s="5">
        <f t="shared" si="5"/>
        <v>24.168648648648645</v>
      </c>
      <c r="I6" s="5">
        <f t="shared" si="6"/>
        <v>25.547351351351349</v>
      </c>
      <c r="J6" s="5">
        <f t="shared" si="7"/>
        <v>38.909189189189185</v>
      </c>
      <c r="K6" s="5">
        <f t="shared" si="8"/>
        <v>61.07</v>
      </c>
      <c r="L6" s="5">
        <f t="shared" si="9"/>
        <v>61.07</v>
      </c>
      <c r="M6" s="5">
        <f t="shared" si="10"/>
        <v>53.416216216216213</v>
      </c>
      <c r="N6" s="5">
        <f t="shared" si="11"/>
        <v>23.61697297297297</v>
      </c>
      <c r="O6" s="6">
        <f t="shared" si="12"/>
        <v>347.11372972972976</v>
      </c>
      <c r="Q6">
        <v>57</v>
      </c>
      <c r="R6">
        <v>39.299999999999997</v>
      </c>
      <c r="S6">
        <v>28.3</v>
      </c>
      <c r="T6">
        <v>28.2</v>
      </c>
      <c r="U6">
        <v>47.3</v>
      </c>
      <c r="V6">
        <v>82.8</v>
      </c>
      <c r="W6">
        <v>84.7</v>
      </c>
      <c r="X6">
        <v>129</v>
      </c>
      <c r="Y6">
        <v>249</v>
      </c>
      <c r="Z6">
        <v>241</v>
      </c>
      <c r="AA6">
        <v>183</v>
      </c>
      <c r="AB6">
        <v>78.3</v>
      </c>
    </row>
    <row r="7" spans="1:32" x14ac:dyDescent="0.2">
      <c r="B7">
        <v>1981</v>
      </c>
      <c r="C7" s="5">
        <f t="shared" si="0"/>
        <v>14.23654054054054</v>
      </c>
      <c r="D7" s="5">
        <f t="shared" si="1"/>
        <v>9.2627027027027005</v>
      </c>
      <c r="E7" s="5">
        <f t="shared" si="2"/>
        <v>7.6913513513513507</v>
      </c>
      <c r="F7" s="5">
        <f t="shared" si="3"/>
        <v>7.0345945945945942</v>
      </c>
      <c r="G7" s="5">
        <f t="shared" si="4"/>
        <v>10.436108108108106</v>
      </c>
      <c r="H7" s="5">
        <f t="shared" si="5"/>
        <v>30.356756756756752</v>
      </c>
      <c r="I7" s="5">
        <f t="shared" si="6"/>
        <v>22.35016216216216</v>
      </c>
      <c r="J7" s="5">
        <f t="shared" si="7"/>
        <v>61.07</v>
      </c>
      <c r="K7" s="5">
        <f t="shared" si="8"/>
        <v>43.783783783783775</v>
      </c>
      <c r="L7" s="5">
        <f t="shared" si="9"/>
        <v>61.07</v>
      </c>
      <c r="M7" s="5">
        <f t="shared" si="10"/>
        <v>61.07</v>
      </c>
      <c r="N7" s="5">
        <f t="shared" si="11"/>
        <v>47.656216216216215</v>
      </c>
      <c r="O7" s="6">
        <f t="shared" si="12"/>
        <v>376.01821621621616</v>
      </c>
      <c r="Q7">
        <v>47.2</v>
      </c>
      <c r="R7">
        <v>34</v>
      </c>
      <c r="S7">
        <v>25.5</v>
      </c>
      <c r="T7">
        <v>24.1</v>
      </c>
      <c r="U7">
        <v>34.6</v>
      </c>
      <c r="V7">
        <v>104</v>
      </c>
      <c r="W7">
        <v>74.099999999999994</v>
      </c>
      <c r="X7">
        <v>282</v>
      </c>
      <c r="Y7">
        <v>150</v>
      </c>
      <c r="Z7">
        <v>274</v>
      </c>
      <c r="AA7">
        <v>235</v>
      </c>
      <c r="AB7">
        <v>158</v>
      </c>
    </row>
    <row r="8" spans="1:32" x14ac:dyDescent="0.2">
      <c r="B8">
        <v>1982</v>
      </c>
      <c r="C8" s="5">
        <f t="shared" si="0"/>
        <v>18.368756756756756</v>
      </c>
      <c r="D8" s="5">
        <f t="shared" si="1"/>
        <v>10.624864864864863</v>
      </c>
      <c r="E8" s="5">
        <f t="shared" si="2"/>
        <v>8.8676756756756756</v>
      </c>
      <c r="F8" s="5">
        <f t="shared" si="3"/>
        <v>9.1945945945945944</v>
      </c>
      <c r="G8" s="5">
        <f t="shared" si="4"/>
        <v>8.7470270270270252</v>
      </c>
      <c r="H8" s="5">
        <f t="shared" si="5"/>
        <v>21.921081081081077</v>
      </c>
      <c r="I8" s="5">
        <f t="shared" si="6"/>
        <v>26.844324324324322</v>
      </c>
      <c r="J8" s="5">
        <f t="shared" si="7"/>
        <v>23.134378378378376</v>
      </c>
      <c r="K8" s="5">
        <f t="shared" si="8"/>
        <v>61.07</v>
      </c>
      <c r="L8" s="5">
        <f t="shared" si="9"/>
        <v>40.718918918918916</v>
      </c>
      <c r="M8" s="5">
        <f t="shared" si="10"/>
        <v>23.555675675675676</v>
      </c>
      <c r="N8" s="5">
        <f t="shared" si="11"/>
        <v>14.779459459459458</v>
      </c>
      <c r="O8" s="6">
        <f t="shared" si="12"/>
        <v>267.82675675675671</v>
      </c>
      <c r="Q8">
        <v>60.9</v>
      </c>
      <c r="R8">
        <v>39</v>
      </c>
      <c r="S8">
        <v>29.4</v>
      </c>
      <c r="T8">
        <v>31.5</v>
      </c>
      <c r="U8">
        <v>29</v>
      </c>
      <c r="V8">
        <v>75.099999999999994</v>
      </c>
      <c r="W8">
        <v>89</v>
      </c>
      <c r="X8">
        <v>76.7</v>
      </c>
      <c r="Y8">
        <v>307</v>
      </c>
      <c r="Z8">
        <v>135</v>
      </c>
      <c r="AA8">
        <v>80.7</v>
      </c>
      <c r="AB8">
        <v>49</v>
      </c>
    </row>
    <row r="9" spans="1:32" x14ac:dyDescent="0.2">
      <c r="B9">
        <v>1983</v>
      </c>
      <c r="C9" s="5">
        <f t="shared" si="0"/>
        <v>11.491783783783783</v>
      </c>
      <c r="D9" s="5">
        <f t="shared" si="1"/>
        <v>7.5191351351351345</v>
      </c>
      <c r="E9" s="5">
        <f t="shared" si="2"/>
        <v>6.665837837837838</v>
      </c>
      <c r="F9" s="5">
        <f t="shared" si="3"/>
        <v>5.3416216216216208</v>
      </c>
      <c r="G9" s="5">
        <f t="shared" si="4"/>
        <v>8.5962162162162166</v>
      </c>
      <c r="H9" s="5">
        <f t="shared" si="5"/>
        <v>14.594594594594595</v>
      </c>
      <c r="I9" s="5">
        <f t="shared" si="6"/>
        <v>12.607783783783781</v>
      </c>
      <c r="J9" s="5">
        <f t="shared" si="7"/>
        <v>31.97189189189189</v>
      </c>
      <c r="K9" s="5">
        <f t="shared" si="8"/>
        <v>31.232432432432429</v>
      </c>
      <c r="L9" s="5">
        <f t="shared" si="9"/>
        <v>61.07</v>
      </c>
      <c r="M9" s="5">
        <f t="shared" si="10"/>
        <v>35.902702702702705</v>
      </c>
      <c r="N9" s="5">
        <f t="shared" si="11"/>
        <v>18.42908108108108</v>
      </c>
      <c r="O9" s="6">
        <f t="shared" si="12"/>
        <v>245.42308108108105</v>
      </c>
      <c r="Q9">
        <v>38.1</v>
      </c>
      <c r="R9">
        <v>27.6</v>
      </c>
      <c r="S9">
        <v>22.1</v>
      </c>
      <c r="T9">
        <v>18.3</v>
      </c>
      <c r="U9">
        <v>28.5</v>
      </c>
      <c r="V9">
        <v>50</v>
      </c>
      <c r="W9">
        <v>41.8</v>
      </c>
      <c r="X9">
        <v>106</v>
      </c>
      <c r="Y9">
        <v>107</v>
      </c>
      <c r="Z9">
        <v>302</v>
      </c>
      <c r="AA9">
        <v>123</v>
      </c>
      <c r="AB9">
        <v>61.1</v>
      </c>
    </row>
    <row r="10" spans="1:32" x14ac:dyDescent="0.2">
      <c r="B10">
        <v>1984</v>
      </c>
      <c r="C10" s="5">
        <f t="shared" si="0"/>
        <v>12.487135135135135</v>
      </c>
      <c r="D10" s="5">
        <f t="shared" si="1"/>
        <v>8.0134054054054022</v>
      </c>
      <c r="E10" s="5">
        <f t="shared" si="2"/>
        <v>6.6055135135135119</v>
      </c>
      <c r="F10" s="5">
        <f t="shared" si="3"/>
        <v>7.7935135135135125</v>
      </c>
      <c r="G10" s="5">
        <f t="shared" si="4"/>
        <v>13.241189189189187</v>
      </c>
      <c r="H10" s="5">
        <f t="shared" si="5"/>
        <v>23.67243243243243</v>
      </c>
      <c r="I10" s="5">
        <f t="shared" si="6"/>
        <v>28.623891891891894</v>
      </c>
      <c r="J10" s="5">
        <f t="shared" si="7"/>
        <v>61.07</v>
      </c>
      <c r="K10" s="5">
        <f t="shared" si="8"/>
        <v>61.07</v>
      </c>
      <c r="L10" s="5">
        <f t="shared" si="9"/>
        <v>61.07</v>
      </c>
      <c r="M10" s="5">
        <f t="shared" si="10"/>
        <v>33.567567567567565</v>
      </c>
      <c r="N10" s="5">
        <f t="shared" si="11"/>
        <v>23.828108108108108</v>
      </c>
      <c r="O10" s="6">
        <f t="shared" si="12"/>
        <v>341.04275675675672</v>
      </c>
      <c r="Q10">
        <v>41.4</v>
      </c>
      <c r="R10">
        <v>28.4</v>
      </c>
      <c r="S10">
        <v>21.9</v>
      </c>
      <c r="T10">
        <v>26.7</v>
      </c>
      <c r="U10">
        <v>43.9</v>
      </c>
      <c r="V10">
        <v>81.099999999999994</v>
      </c>
      <c r="W10">
        <v>94.9</v>
      </c>
      <c r="X10">
        <v>296</v>
      </c>
      <c r="Y10">
        <v>250</v>
      </c>
      <c r="Z10">
        <v>254</v>
      </c>
      <c r="AA10">
        <v>115</v>
      </c>
      <c r="AB10">
        <v>79</v>
      </c>
    </row>
    <row r="11" spans="1:32" x14ac:dyDescent="0.2">
      <c r="B11">
        <v>1985</v>
      </c>
      <c r="C11" s="5">
        <f t="shared" si="0"/>
        <v>12.969729729729728</v>
      </c>
      <c r="D11" s="5">
        <f t="shared" si="1"/>
        <v>8.172972972972973</v>
      </c>
      <c r="E11" s="5">
        <f t="shared" si="2"/>
        <v>7.0579459459459448</v>
      </c>
      <c r="F11" s="5">
        <f t="shared" si="3"/>
        <v>10.595675675675675</v>
      </c>
      <c r="G11" s="5">
        <f t="shared" si="4"/>
        <v>13.060216216216213</v>
      </c>
      <c r="H11" s="5">
        <f t="shared" si="5"/>
        <v>23.701621621621619</v>
      </c>
      <c r="I11" s="5">
        <f t="shared" si="6"/>
        <v>33.781621621621618</v>
      </c>
      <c r="J11" s="5">
        <f t="shared" si="7"/>
        <v>31.670270270270265</v>
      </c>
      <c r="K11" s="5">
        <f t="shared" si="8"/>
        <v>51.956756756756754</v>
      </c>
      <c r="L11" s="5">
        <f t="shared" si="9"/>
        <v>46.751351351351353</v>
      </c>
      <c r="M11" s="5">
        <f t="shared" si="10"/>
        <v>26.27027027027027</v>
      </c>
      <c r="N11" s="5">
        <f t="shared" si="11"/>
        <v>21.535783783783785</v>
      </c>
      <c r="O11" s="6">
        <f t="shared" si="12"/>
        <v>287.52421621621625</v>
      </c>
      <c r="Q11">
        <v>43</v>
      </c>
      <c r="R11">
        <v>30</v>
      </c>
      <c r="S11">
        <v>23.4</v>
      </c>
      <c r="T11">
        <v>36.299999999999997</v>
      </c>
      <c r="U11">
        <v>43.3</v>
      </c>
      <c r="V11">
        <v>81.2</v>
      </c>
      <c r="W11">
        <v>112</v>
      </c>
      <c r="X11">
        <v>105</v>
      </c>
      <c r="Y11">
        <v>178</v>
      </c>
      <c r="Z11">
        <v>155</v>
      </c>
      <c r="AA11">
        <v>90</v>
      </c>
      <c r="AB11">
        <v>71.400000000000006</v>
      </c>
    </row>
    <row r="12" spans="1:32" x14ac:dyDescent="0.2">
      <c r="B12">
        <v>1986</v>
      </c>
      <c r="C12" s="5">
        <f t="shared" si="0"/>
        <v>11.763243243243242</v>
      </c>
      <c r="D12" s="5">
        <f t="shared" si="1"/>
        <v>6.8652972972972979</v>
      </c>
      <c r="E12" s="5">
        <f t="shared" si="2"/>
        <v>5.8514594594594582</v>
      </c>
      <c r="F12" s="5">
        <f t="shared" si="3"/>
        <v>3.8237837837837838</v>
      </c>
      <c r="G12" s="5">
        <f t="shared" si="4"/>
        <v>7.4198918918918917</v>
      </c>
      <c r="H12" s="5">
        <f t="shared" si="5"/>
        <v>9.9827027027027011</v>
      </c>
      <c r="I12" s="5">
        <f t="shared" si="6"/>
        <v>21.113513513513514</v>
      </c>
      <c r="J12" s="5">
        <f t="shared" si="7"/>
        <v>61.07</v>
      </c>
      <c r="K12" s="5">
        <f t="shared" si="8"/>
        <v>48.745945945945941</v>
      </c>
      <c r="L12" s="5">
        <f t="shared" si="9"/>
        <v>49.46594594594594</v>
      </c>
      <c r="M12" s="5">
        <f t="shared" si="10"/>
        <v>28.225945945945945</v>
      </c>
      <c r="N12" s="5">
        <f t="shared" si="11"/>
        <v>34.083243243243238</v>
      </c>
      <c r="O12" s="6">
        <f t="shared" si="12"/>
        <v>288.41097297297296</v>
      </c>
      <c r="Q12">
        <v>39</v>
      </c>
      <c r="R12">
        <v>25.2</v>
      </c>
      <c r="S12">
        <v>19.399999999999999</v>
      </c>
      <c r="T12">
        <v>13.1</v>
      </c>
      <c r="U12">
        <v>24.6</v>
      </c>
      <c r="V12">
        <v>34.200000000000003</v>
      </c>
      <c r="W12">
        <v>70</v>
      </c>
      <c r="X12">
        <v>231</v>
      </c>
      <c r="Y12">
        <v>167</v>
      </c>
      <c r="Z12">
        <v>164</v>
      </c>
      <c r="AA12">
        <v>96.7</v>
      </c>
      <c r="AB12">
        <v>113</v>
      </c>
    </row>
    <row r="13" spans="1:32" x14ac:dyDescent="0.2">
      <c r="B13">
        <v>1987</v>
      </c>
      <c r="C13" s="5">
        <f t="shared" si="0"/>
        <v>15.382702702702701</v>
      </c>
      <c r="D13" s="5">
        <f t="shared" si="1"/>
        <v>9.0447567567567564</v>
      </c>
      <c r="E13" s="5">
        <f t="shared" si="2"/>
        <v>7.480216216216216</v>
      </c>
      <c r="F13" s="5">
        <f t="shared" si="3"/>
        <v>4.8745945945945941</v>
      </c>
      <c r="G13" s="5">
        <f t="shared" si="4"/>
        <v>6.7563243243243232</v>
      </c>
      <c r="H13" s="5">
        <f t="shared" si="5"/>
        <v>18.681081081081082</v>
      </c>
      <c r="I13" s="5">
        <f t="shared" si="6"/>
        <v>35.591351351351349</v>
      </c>
      <c r="J13" s="5">
        <f t="shared" si="7"/>
        <v>36.797837837837839</v>
      </c>
      <c r="K13" s="5">
        <f t="shared" si="8"/>
        <v>61.07</v>
      </c>
      <c r="L13" s="5">
        <f t="shared" si="9"/>
        <v>41.9254054054054</v>
      </c>
      <c r="M13" s="5">
        <f t="shared" si="10"/>
        <v>32.4</v>
      </c>
      <c r="N13" s="5">
        <f t="shared" si="11"/>
        <v>20.902378378378376</v>
      </c>
      <c r="O13" s="6">
        <f t="shared" si="12"/>
        <v>290.90664864864863</v>
      </c>
      <c r="Q13">
        <v>51</v>
      </c>
      <c r="R13">
        <v>33.200000000000003</v>
      </c>
      <c r="S13">
        <v>24.8</v>
      </c>
      <c r="T13">
        <v>16.7</v>
      </c>
      <c r="U13">
        <v>22.4</v>
      </c>
      <c r="V13">
        <v>64</v>
      </c>
      <c r="W13">
        <v>118</v>
      </c>
      <c r="X13">
        <v>122</v>
      </c>
      <c r="Y13">
        <v>213</v>
      </c>
      <c r="Z13">
        <v>139</v>
      </c>
      <c r="AA13">
        <v>111</v>
      </c>
      <c r="AB13">
        <v>69.3</v>
      </c>
    </row>
    <row r="14" spans="1:32" x14ac:dyDescent="0.2">
      <c r="B14">
        <v>1988</v>
      </c>
      <c r="C14" s="5">
        <f t="shared" si="0"/>
        <v>13.391999999999998</v>
      </c>
      <c r="D14" s="5">
        <f t="shared" si="1"/>
        <v>8.9163243243243251</v>
      </c>
      <c r="E14" s="5">
        <f t="shared" si="2"/>
        <v>6.4848648648648641</v>
      </c>
      <c r="F14" s="5">
        <f t="shared" si="3"/>
        <v>6.4216216216216209</v>
      </c>
      <c r="G14" s="5">
        <f t="shared" si="4"/>
        <v>12.426810810810812</v>
      </c>
      <c r="H14" s="5">
        <f t="shared" si="5"/>
        <v>18.330810810810807</v>
      </c>
      <c r="I14" s="5">
        <f t="shared" si="6"/>
        <v>20.118162162162157</v>
      </c>
      <c r="J14" s="5">
        <f t="shared" si="7"/>
        <v>24.73297297297297</v>
      </c>
      <c r="K14" s="5">
        <f t="shared" si="8"/>
        <v>40.57297297297297</v>
      </c>
      <c r="L14" s="5">
        <f t="shared" si="9"/>
        <v>61.07</v>
      </c>
      <c r="M14" s="5">
        <f t="shared" si="10"/>
        <v>50.497297297297294</v>
      </c>
      <c r="N14" s="5">
        <f t="shared" si="11"/>
        <v>24.461513513513509</v>
      </c>
      <c r="O14" s="6">
        <f t="shared" si="12"/>
        <v>287.42535135135137</v>
      </c>
      <c r="Q14">
        <v>44.4</v>
      </c>
      <c r="R14">
        <v>31.6</v>
      </c>
      <c r="S14">
        <v>21.5</v>
      </c>
      <c r="T14">
        <v>22</v>
      </c>
      <c r="U14">
        <v>41.2</v>
      </c>
      <c r="V14">
        <v>62.8</v>
      </c>
      <c r="W14">
        <v>66.7</v>
      </c>
      <c r="X14">
        <v>82</v>
      </c>
      <c r="Y14">
        <v>139</v>
      </c>
      <c r="Z14">
        <v>211</v>
      </c>
      <c r="AA14">
        <v>173</v>
      </c>
      <c r="AB14">
        <v>81.099999999999994</v>
      </c>
    </row>
    <row r="15" spans="1:32" x14ac:dyDescent="0.2">
      <c r="B15">
        <v>1989</v>
      </c>
      <c r="C15" s="5">
        <f t="shared" si="0"/>
        <v>16.679675675675675</v>
      </c>
      <c r="D15" s="5">
        <f t="shared" si="1"/>
        <v>9.1537297297297293</v>
      </c>
      <c r="E15" s="5">
        <f t="shared" si="2"/>
        <v>9.4709189189189189</v>
      </c>
      <c r="F15" s="5">
        <f t="shared" si="3"/>
        <v>9.1070270270270264</v>
      </c>
      <c r="G15" s="5">
        <f t="shared" si="4"/>
        <v>22.078702702702699</v>
      </c>
      <c r="H15" s="5">
        <f t="shared" si="5"/>
        <v>30.648648648648646</v>
      </c>
      <c r="I15" s="5">
        <f t="shared" si="6"/>
        <v>39.512432432432426</v>
      </c>
      <c r="J15" s="5">
        <f t="shared" si="7"/>
        <v>58.212972972972963</v>
      </c>
      <c r="K15" s="5">
        <f t="shared" si="8"/>
        <v>61.07</v>
      </c>
      <c r="L15" s="5">
        <f t="shared" si="9"/>
        <v>52.180540540540541</v>
      </c>
      <c r="M15" s="5">
        <f t="shared" si="10"/>
        <v>27.408648648648647</v>
      </c>
      <c r="N15" s="5">
        <f t="shared" si="11"/>
        <v>16.981297297297296</v>
      </c>
      <c r="O15" s="6">
        <f t="shared" si="12"/>
        <v>352.50459459459461</v>
      </c>
      <c r="Q15">
        <v>55.3</v>
      </c>
      <c r="R15">
        <v>33.6</v>
      </c>
      <c r="S15">
        <v>31.4</v>
      </c>
      <c r="T15">
        <v>31.2</v>
      </c>
      <c r="U15">
        <v>73.2</v>
      </c>
      <c r="V15">
        <v>105</v>
      </c>
      <c r="W15">
        <v>131</v>
      </c>
      <c r="X15">
        <v>193</v>
      </c>
      <c r="Y15">
        <v>243</v>
      </c>
      <c r="Z15">
        <v>173</v>
      </c>
      <c r="AA15">
        <v>93.9</v>
      </c>
      <c r="AB15">
        <v>56.3</v>
      </c>
    </row>
    <row r="16" spans="1:32" x14ac:dyDescent="0.2">
      <c r="B16">
        <v>1990</v>
      </c>
      <c r="C16" s="5">
        <f t="shared" si="0"/>
        <v>11.371135135135136</v>
      </c>
      <c r="D16" s="5">
        <f t="shared" si="1"/>
        <v>7.2467027027027022</v>
      </c>
      <c r="E16" s="5">
        <f t="shared" si="2"/>
        <v>6.1832432432432425</v>
      </c>
      <c r="F16" s="5">
        <f t="shared" si="3"/>
        <v>6.3048648648648644</v>
      </c>
      <c r="G16" s="5">
        <f t="shared" si="4"/>
        <v>8.385081081081081</v>
      </c>
      <c r="H16" s="5">
        <f t="shared" si="5"/>
        <v>52.24864864864864</v>
      </c>
      <c r="I16" s="5">
        <f t="shared" si="6"/>
        <v>40.417297297297289</v>
      </c>
      <c r="J16" s="5">
        <f t="shared" si="7"/>
        <v>61.07</v>
      </c>
      <c r="K16" s="5">
        <f t="shared" si="8"/>
        <v>61.07</v>
      </c>
      <c r="L16" s="5">
        <f t="shared" si="9"/>
        <v>53.085405405405403</v>
      </c>
      <c r="M16" s="5">
        <f t="shared" si="10"/>
        <v>61.07</v>
      </c>
      <c r="N16" s="5">
        <f t="shared" si="11"/>
        <v>30.463783783783782</v>
      </c>
      <c r="O16" s="6">
        <f t="shared" si="12"/>
        <v>398.9161621621621</v>
      </c>
      <c r="Q16">
        <v>37.700000000000003</v>
      </c>
      <c r="R16">
        <v>26.6</v>
      </c>
      <c r="S16">
        <v>20.5</v>
      </c>
      <c r="T16">
        <v>21.6</v>
      </c>
      <c r="U16">
        <v>27.8</v>
      </c>
      <c r="V16">
        <v>179</v>
      </c>
      <c r="W16">
        <v>134</v>
      </c>
      <c r="X16">
        <v>271</v>
      </c>
      <c r="Y16">
        <v>260</v>
      </c>
      <c r="Z16">
        <v>176</v>
      </c>
      <c r="AA16">
        <v>229</v>
      </c>
      <c r="AB16">
        <v>101</v>
      </c>
    </row>
    <row r="17" spans="2:28" x14ac:dyDescent="0.2">
      <c r="B17">
        <v>1991</v>
      </c>
      <c r="C17" s="5">
        <f t="shared" si="0"/>
        <v>18.760864864864864</v>
      </c>
      <c r="D17" s="5">
        <f t="shared" si="1"/>
        <v>10.570378378378377</v>
      </c>
      <c r="E17" s="5">
        <f t="shared" si="2"/>
        <v>9.1692972972972964</v>
      </c>
      <c r="F17" s="5">
        <f t="shared" si="3"/>
        <v>7.997837837837837</v>
      </c>
      <c r="G17" s="5">
        <f t="shared" si="4"/>
        <v>12.276</v>
      </c>
      <c r="H17" s="5">
        <f t="shared" si="5"/>
        <v>15.557837837837836</v>
      </c>
      <c r="I17" s="5">
        <f t="shared" si="6"/>
        <v>26.331567567567564</v>
      </c>
      <c r="J17" s="5">
        <f t="shared" si="7"/>
        <v>41.322162162162158</v>
      </c>
      <c r="K17" s="5">
        <f t="shared" si="8"/>
        <v>51.956756756756754</v>
      </c>
      <c r="L17" s="5">
        <f t="shared" si="9"/>
        <v>54.593513513513507</v>
      </c>
      <c r="M17" s="5">
        <f t="shared" si="10"/>
        <v>23.759999999999998</v>
      </c>
      <c r="N17" s="5">
        <f t="shared" si="11"/>
        <v>12.818918918918916</v>
      </c>
      <c r="O17" s="6">
        <f t="shared" si="12"/>
        <v>285.11513513513512</v>
      </c>
      <c r="Q17">
        <v>62.2</v>
      </c>
      <c r="R17">
        <v>38.799999999999997</v>
      </c>
      <c r="S17">
        <v>30.4</v>
      </c>
      <c r="T17">
        <v>27.4</v>
      </c>
      <c r="U17">
        <v>40.700000000000003</v>
      </c>
      <c r="V17">
        <v>53.3</v>
      </c>
      <c r="W17">
        <v>87.3</v>
      </c>
      <c r="X17">
        <v>137</v>
      </c>
      <c r="Y17">
        <v>178</v>
      </c>
      <c r="Z17">
        <v>181</v>
      </c>
      <c r="AA17">
        <v>81.400000000000006</v>
      </c>
      <c r="AB17">
        <v>42.5</v>
      </c>
    </row>
    <row r="18" spans="2:28" x14ac:dyDescent="0.2">
      <c r="B18">
        <v>1992</v>
      </c>
      <c r="C18" s="5">
        <f t="shared" si="0"/>
        <v>8.3247567567567557</v>
      </c>
      <c r="D18" s="5">
        <f t="shared" si="1"/>
        <v>5.6150270270270255</v>
      </c>
      <c r="E18" s="5">
        <f t="shared" si="2"/>
        <v>4.9164324324324316</v>
      </c>
      <c r="F18" s="5">
        <f t="shared" si="3"/>
        <v>5.7502702702702697</v>
      </c>
      <c r="G18" s="5">
        <f t="shared" si="4"/>
        <v>9.5010810810810788</v>
      </c>
      <c r="H18" s="5">
        <f t="shared" si="5"/>
        <v>30.648648648648646</v>
      </c>
      <c r="I18" s="5">
        <f t="shared" si="6"/>
        <v>26.271243243243237</v>
      </c>
      <c r="J18" s="5">
        <f t="shared" si="7"/>
        <v>61.07</v>
      </c>
      <c r="K18" s="5">
        <f t="shared" si="8"/>
        <v>61.07</v>
      </c>
      <c r="L18" s="5">
        <f t="shared" si="9"/>
        <v>61.07</v>
      </c>
      <c r="M18" s="5">
        <f t="shared" si="10"/>
        <v>50.497297297297294</v>
      </c>
      <c r="N18" s="5">
        <f t="shared" si="11"/>
        <v>27.960324324324322</v>
      </c>
      <c r="O18" s="6">
        <f t="shared" si="12"/>
        <v>352.69508108108107</v>
      </c>
      <c r="Q18">
        <v>27.6</v>
      </c>
      <c r="R18">
        <v>19.899999999999999</v>
      </c>
      <c r="S18">
        <v>16.3</v>
      </c>
      <c r="T18">
        <v>19.7</v>
      </c>
      <c r="U18">
        <v>31.5</v>
      </c>
      <c r="V18">
        <v>105</v>
      </c>
      <c r="W18">
        <v>87.1</v>
      </c>
      <c r="X18">
        <v>241</v>
      </c>
      <c r="Y18">
        <v>225</v>
      </c>
      <c r="Z18">
        <v>292</v>
      </c>
      <c r="AA18">
        <v>173</v>
      </c>
      <c r="AB18">
        <v>92.7</v>
      </c>
    </row>
    <row r="19" spans="2:28" x14ac:dyDescent="0.2">
      <c r="B19">
        <v>1993</v>
      </c>
      <c r="C19" s="5">
        <f t="shared" si="0"/>
        <v>15.171567567567566</v>
      </c>
      <c r="D19" s="5">
        <f t="shared" si="1"/>
        <v>9.7803243243243223</v>
      </c>
      <c r="E19" s="5">
        <f t="shared" si="2"/>
        <v>9.6217297297297293</v>
      </c>
      <c r="F19" s="5">
        <f t="shared" si="3"/>
        <v>7.8518918918918912</v>
      </c>
      <c r="G19" s="5">
        <f t="shared" si="4"/>
        <v>13.060216216216213</v>
      </c>
      <c r="H19" s="5">
        <f t="shared" si="5"/>
        <v>14.71135135135135</v>
      </c>
      <c r="I19" s="5">
        <f t="shared" si="6"/>
        <v>31.067027027027027</v>
      </c>
      <c r="J19" s="5">
        <f t="shared" si="7"/>
        <v>34.686486486486487</v>
      </c>
      <c r="K19" s="5">
        <f t="shared" si="8"/>
        <v>39.98918918918919</v>
      </c>
      <c r="L19" s="5">
        <f t="shared" si="9"/>
        <v>61.07</v>
      </c>
      <c r="M19" s="5">
        <f t="shared" si="10"/>
        <v>38.821621621621617</v>
      </c>
      <c r="N19" s="5">
        <f t="shared" si="11"/>
        <v>56.101621621621618</v>
      </c>
      <c r="O19" s="6">
        <f t="shared" si="12"/>
        <v>331.93302702702698</v>
      </c>
      <c r="Q19">
        <v>50.3</v>
      </c>
      <c r="R19">
        <v>35.9</v>
      </c>
      <c r="S19">
        <v>31.9</v>
      </c>
      <c r="T19">
        <v>26.9</v>
      </c>
      <c r="U19">
        <v>43.3</v>
      </c>
      <c r="V19">
        <v>50.4</v>
      </c>
      <c r="W19">
        <v>103</v>
      </c>
      <c r="X19">
        <v>115</v>
      </c>
      <c r="Y19">
        <v>137</v>
      </c>
      <c r="Z19">
        <v>316</v>
      </c>
      <c r="AA19">
        <v>133</v>
      </c>
      <c r="AB19">
        <v>186</v>
      </c>
    </row>
    <row r="20" spans="2:28" x14ac:dyDescent="0.2">
      <c r="B20">
        <v>1994</v>
      </c>
      <c r="C20" s="5">
        <f t="shared" si="0"/>
        <v>19.756216216216213</v>
      </c>
      <c r="D20" s="5">
        <f t="shared" si="1"/>
        <v>11.959783783783784</v>
      </c>
      <c r="E20" s="5">
        <f t="shared" si="2"/>
        <v>9.8630270270270284</v>
      </c>
      <c r="F20" s="5">
        <f t="shared" si="3"/>
        <v>9.6032432432432415</v>
      </c>
      <c r="G20" s="5">
        <f t="shared" si="4"/>
        <v>12.547459459459457</v>
      </c>
      <c r="H20" s="5">
        <f t="shared" si="5"/>
        <v>16.112432432432431</v>
      </c>
      <c r="I20" s="5">
        <f t="shared" si="6"/>
        <v>36.496216216216212</v>
      </c>
      <c r="J20" s="5">
        <f t="shared" si="7"/>
        <v>37.401081081081081</v>
      </c>
      <c r="K20" s="5">
        <f t="shared" si="8"/>
        <v>58.670270270270265</v>
      </c>
      <c r="L20" s="5">
        <f t="shared" si="9"/>
        <v>52.482162162162155</v>
      </c>
      <c r="M20" s="5">
        <f t="shared" si="10"/>
        <v>22.388108108108106</v>
      </c>
      <c r="N20" s="5">
        <f t="shared" si="11"/>
        <v>15.081081081081079</v>
      </c>
      <c r="O20" s="6">
        <f t="shared" si="12"/>
        <v>302.36108108108107</v>
      </c>
      <c r="Q20">
        <v>65.5</v>
      </c>
      <c r="R20">
        <v>43.9</v>
      </c>
      <c r="S20">
        <v>32.700000000000003</v>
      </c>
      <c r="T20">
        <v>32.9</v>
      </c>
      <c r="U20">
        <v>41.6</v>
      </c>
      <c r="V20">
        <v>55.2</v>
      </c>
      <c r="W20">
        <v>121</v>
      </c>
      <c r="X20">
        <v>124</v>
      </c>
      <c r="Y20">
        <v>201</v>
      </c>
      <c r="Z20">
        <v>174</v>
      </c>
      <c r="AA20">
        <v>76.7</v>
      </c>
      <c r="AB20">
        <v>50</v>
      </c>
    </row>
    <row r="21" spans="2:28" x14ac:dyDescent="0.2">
      <c r="B21">
        <v>1995</v>
      </c>
      <c r="C21" s="5">
        <f t="shared" si="0"/>
        <v>10.07416216216216</v>
      </c>
      <c r="D21" s="5">
        <f t="shared" si="1"/>
        <v>7.0015135135135136</v>
      </c>
      <c r="E21" s="5">
        <f t="shared" si="2"/>
        <v>6.5451891891891885</v>
      </c>
      <c r="F21" s="5">
        <f t="shared" si="3"/>
        <v>5.5167567567567568</v>
      </c>
      <c r="G21" s="5">
        <f t="shared" si="4"/>
        <v>7.6913513513513507</v>
      </c>
      <c r="H21" s="5">
        <f t="shared" si="5"/>
        <v>9.2529729729729731</v>
      </c>
      <c r="I21" s="5">
        <f t="shared" si="6"/>
        <v>17.946486486486485</v>
      </c>
      <c r="J21" s="5">
        <f t="shared" si="7"/>
        <v>18.972000000000001</v>
      </c>
      <c r="K21" s="5">
        <f t="shared" si="8"/>
        <v>40.281081081081076</v>
      </c>
      <c r="L21" s="5">
        <f t="shared" si="9"/>
        <v>49.767567567567568</v>
      </c>
      <c r="M21" s="5">
        <f t="shared" si="10"/>
        <v>21.424864864864862</v>
      </c>
      <c r="N21" s="5">
        <f t="shared" si="11"/>
        <v>19.514918918918919</v>
      </c>
      <c r="O21" s="6">
        <f t="shared" si="12"/>
        <v>213.98886486486487</v>
      </c>
      <c r="Q21">
        <v>33.4</v>
      </c>
      <c r="R21">
        <v>25.7</v>
      </c>
      <c r="S21">
        <v>21.7</v>
      </c>
      <c r="T21">
        <v>18.899999999999999</v>
      </c>
      <c r="U21">
        <v>25.5</v>
      </c>
      <c r="V21">
        <v>31.7</v>
      </c>
      <c r="W21">
        <v>59.5</v>
      </c>
      <c r="X21">
        <v>62.9</v>
      </c>
      <c r="Y21">
        <v>138</v>
      </c>
      <c r="Z21">
        <v>165</v>
      </c>
      <c r="AA21">
        <v>73.400000000000006</v>
      </c>
      <c r="AB21">
        <v>64.7</v>
      </c>
    </row>
    <row r="22" spans="2:28" x14ac:dyDescent="0.2">
      <c r="B22">
        <v>1996</v>
      </c>
      <c r="C22" s="5">
        <f t="shared" si="0"/>
        <v>14.176216216216217</v>
      </c>
      <c r="D22" s="5">
        <f t="shared" si="1"/>
        <v>8.9445405405405385</v>
      </c>
      <c r="E22" s="5">
        <f t="shared" si="2"/>
        <v>7.8119999999999994</v>
      </c>
      <c r="F22" s="5">
        <f t="shared" si="3"/>
        <v>9.077837837837837</v>
      </c>
      <c r="G22" s="5">
        <f t="shared" si="4"/>
        <v>20.268972972972971</v>
      </c>
      <c r="H22" s="5">
        <f t="shared" si="5"/>
        <v>27.70054054054054</v>
      </c>
      <c r="I22" s="5">
        <f t="shared" si="6"/>
        <v>37.702702702702702</v>
      </c>
      <c r="J22" s="5">
        <f t="shared" si="7"/>
        <v>48.561081081081078</v>
      </c>
      <c r="K22" s="5">
        <f t="shared" si="8"/>
        <v>61.07</v>
      </c>
      <c r="L22" s="5">
        <f t="shared" si="9"/>
        <v>61.07</v>
      </c>
      <c r="M22" s="5">
        <f t="shared" si="10"/>
        <v>61.07</v>
      </c>
      <c r="N22" s="5">
        <f t="shared" si="11"/>
        <v>57.00648648648648</v>
      </c>
      <c r="O22" s="6">
        <f t="shared" si="12"/>
        <v>414.46037837837838</v>
      </c>
      <c r="Q22">
        <v>47</v>
      </c>
      <c r="R22">
        <v>31.7</v>
      </c>
      <c r="S22">
        <v>25.9</v>
      </c>
      <c r="T22">
        <v>31.1</v>
      </c>
      <c r="U22">
        <v>67.2</v>
      </c>
      <c r="V22">
        <v>94.9</v>
      </c>
      <c r="W22">
        <v>125</v>
      </c>
      <c r="X22">
        <v>161</v>
      </c>
      <c r="Y22">
        <v>249</v>
      </c>
      <c r="Z22">
        <v>348</v>
      </c>
      <c r="AA22">
        <v>267</v>
      </c>
      <c r="AB22">
        <v>189</v>
      </c>
    </row>
    <row r="23" spans="2:28" x14ac:dyDescent="0.2">
      <c r="B23">
        <v>1997</v>
      </c>
      <c r="C23" s="5">
        <f t="shared" si="0"/>
        <v>23.647135135135137</v>
      </c>
      <c r="D23" s="5">
        <f t="shared" si="1"/>
        <v>15.310702702702701</v>
      </c>
      <c r="E23" s="5">
        <f t="shared" si="2"/>
        <v>11.88389189189189</v>
      </c>
      <c r="F23" s="5">
        <f t="shared" si="3"/>
        <v>12.405405405405403</v>
      </c>
      <c r="G23" s="5">
        <f t="shared" si="4"/>
        <v>17.011459459459459</v>
      </c>
      <c r="H23" s="5">
        <f t="shared" si="5"/>
        <v>15.324324324324323</v>
      </c>
      <c r="I23" s="5">
        <f t="shared" si="6"/>
        <v>43.43351351351351</v>
      </c>
      <c r="J23" s="5">
        <f t="shared" si="7"/>
        <v>61.07</v>
      </c>
      <c r="K23" s="5">
        <f t="shared" si="8"/>
        <v>61.07</v>
      </c>
      <c r="L23" s="5">
        <f t="shared" si="9"/>
        <v>49.767567567567568</v>
      </c>
      <c r="M23" s="5">
        <f t="shared" si="10"/>
        <v>30.940540540540539</v>
      </c>
      <c r="N23" s="5">
        <f t="shared" si="11"/>
        <v>15.322378378378376</v>
      </c>
      <c r="O23" s="6">
        <f t="shared" si="12"/>
        <v>357.18691891891893</v>
      </c>
      <c r="Q23">
        <v>78.400000000000006</v>
      </c>
      <c r="R23">
        <v>56.2</v>
      </c>
      <c r="S23">
        <v>39.4</v>
      </c>
      <c r="T23">
        <v>42.5</v>
      </c>
      <c r="U23">
        <v>56.4</v>
      </c>
      <c r="V23">
        <v>52.5</v>
      </c>
      <c r="W23">
        <v>144</v>
      </c>
      <c r="X23">
        <v>221</v>
      </c>
      <c r="Y23">
        <v>211</v>
      </c>
      <c r="Z23">
        <v>165</v>
      </c>
      <c r="AA23">
        <v>106</v>
      </c>
      <c r="AB23">
        <v>50.8</v>
      </c>
    </row>
    <row r="24" spans="2:28" x14ac:dyDescent="0.2">
      <c r="B24">
        <v>1998</v>
      </c>
      <c r="C24" s="5">
        <f t="shared" si="0"/>
        <v>12.095027027027026</v>
      </c>
      <c r="D24" s="5">
        <f t="shared" si="1"/>
        <v>8.2547027027027013</v>
      </c>
      <c r="E24" s="5">
        <f t="shared" si="2"/>
        <v>6.5451891891891885</v>
      </c>
      <c r="F24" s="5">
        <f t="shared" si="3"/>
        <v>6.1297297297297284</v>
      </c>
      <c r="G24" s="5">
        <f t="shared" si="4"/>
        <v>11.461621621621619</v>
      </c>
      <c r="H24" s="5">
        <f t="shared" si="5"/>
        <v>9.077837837837837</v>
      </c>
      <c r="I24" s="5">
        <f t="shared" si="6"/>
        <v>15.262054054054053</v>
      </c>
      <c r="J24" s="5">
        <f t="shared" si="7"/>
        <v>21.053189189189187</v>
      </c>
      <c r="K24" s="5">
        <f t="shared" si="8"/>
        <v>24.139459459459456</v>
      </c>
      <c r="L24" s="5">
        <f t="shared" si="9"/>
        <v>53.990270270270265</v>
      </c>
      <c r="M24" s="5">
        <f t="shared" si="10"/>
        <v>61.07</v>
      </c>
      <c r="N24" s="5">
        <f t="shared" si="11"/>
        <v>61.07</v>
      </c>
      <c r="O24" s="6">
        <f t="shared" si="12"/>
        <v>290.14908108108108</v>
      </c>
      <c r="Q24">
        <v>40.1</v>
      </c>
      <c r="R24">
        <v>30.3</v>
      </c>
      <c r="S24">
        <v>21.7</v>
      </c>
      <c r="T24">
        <v>21</v>
      </c>
      <c r="U24">
        <v>38</v>
      </c>
      <c r="V24">
        <v>31.1</v>
      </c>
      <c r="W24">
        <v>50.6</v>
      </c>
      <c r="X24">
        <v>69.8</v>
      </c>
      <c r="Y24">
        <v>82.7</v>
      </c>
      <c r="Z24">
        <v>179</v>
      </c>
      <c r="AA24">
        <v>312</v>
      </c>
      <c r="AB24">
        <v>265</v>
      </c>
    </row>
    <row r="25" spans="2:28" x14ac:dyDescent="0.2">
      <c r="B25">
        <v>1999</v>
      </c>
      <c r="C25" s="5">
        <f t="shared" si="0"/>
        <v>41.020540540540537</v>
      </c>
      <c r="D25" s="5">
        <f t="shared" si="1"/>
        <v>21.167999999999996</v>
      </c>
      <c r="E25" s="5">
        <f t="shared" si="2"/>
        <v>18.670378378378377</v>
      </c>
      <c r="F25" s="5">
        <f t="shared" si="3"/>
        <v>20.549189189189189</v>
      </c>
      <c r="G25" s="5">
        <f t="shared" si="4"/>
        <v>44.941621621621614</v>
      </c>
      <c r="H25" s="5">
        <f t="shared" si="5"/>
        <v>61.07</v>
      </c>
      <c r="I25" s="5">
        <f t="shared" si="6"/>
        <v>54.291891891891886</v>
      </c>
      <c r="J25" s="5">
        <f t="shared" si="7"/>
        <v>61.07</v>
      </c>
      <c r="K25" s="5">
        <f t="shared" si="8"/>
        <v>52.54054054054054</v>
      </c>
      <c r="L25" s="5">
        <f t="shared" si="9"/>
        <v>61.07</v>
      </c>
      <c r="M25" s="5">
        <f t="shared" si="10"/>
        <v>54.291891891891886</v>
      </c>
      <c r="N25" s="5">
        <f t="shared" si="11"/>
        <v>50.069189189189188</v>
      </c>
      <c r="O25" s="6">
        <f t="shared" si="12"/>
        <v>540.75324324324322</v>
      </c>
      <c r="Q25">
        <v>136</v>
      </c>
      <c r="R25">
        <v>77.7</v>
      </c>
      <c r="S25">
        <v>61.9</v>
      </c>
      <c r="T25">
        <v>70.400000000000006</v>
      </c>
      <c r="U25">
        <v>149</v>
      </c>
      <c r="V25">
        <v>223</v>
      </c>
      <c r="W25">
        <v>180</v>
      </c>
      <c r="X25">
        <v>271</v>
      </c>
      <c r="Y25">
        <v>180</v>
      </c>
      <c r="Z25">
        <v>204</v>
      </c>
      <c r="AA25">
        <v>186</v>
      </c>
      <c r="AB25">
        <v>166</v>
      </c>
    </row>
    <row r="26" spans="2:28" x14ac:dyDescent="0.2">
      <c r="B26">
        <v>2000</v>
      </c>
      <c r="C26" s="5">
        <f t="shared" si="0"/>
        <v>21.354810810810807</v>
      </c>
      <c r="D26" s="5">
        <f t="shared" si="1"/>
        <v>14.503135135135134</v>
      </c>
      <c r="E26" s="5">
        <f t="shared" si="2"/>
        <v>12.517297297297297</v>
      </c>
      <c r="F26" s="5">
        <f t="shared" si="3"/>
        <v>13.602162162162161</v>
      </c>
      <c r="G26" s="5">
        <f t="shared" si="4"/>
        <v>15.714486486486486</v>
      </c>
      <c r="H26" s="5">
        <f t="shared" si="5"/>
        <v>24.606486486486482</v>
      </c>
      <c r="I26" s="5">
        <f t="shared" si="6"/>
        <v>43.735135135135131</v>
      </c>
      <c r="J26" s="5">
        <f t="shared" si="7"/>
        <v>44.33837837837838</v>
      </c>
      <c r="K26" s="5">
        <f t="shared" si="8"/>
        <v>61.07</v>
      </c>
      <c r="L26" s="5">
        <f t="shared" si="9"/>
        <v>61.07</v>
      </c>
      <c r="M26" s="5">
        <f t="shared" si="10"/>
        <v>61.07</v>
      </c>
      <c r="N26" s="5">
        <f t="shared" si="11"/>
        <v>61.07</v>
      </c>
      <c r="O26" s="6">
        <f t="shared" si="12"/>
        <v>434.65189189189186</v>
      </c>
      <c r="Q26">
        <v>70.8</v>
      </c>
      <c r="R26">
        <v>51.4</v>
      </c>
      <c r="S26">
        <v>41.5</v>
      </c>
      <c r="T26">
        <v>46.6</v>
      </c>
      <c r="U26">
        <v>52.1</v>
      </c>
      <c r="V26">
        <v>84.3</v>
      </c>
      <c r="W26">
        <v>145</v>
      </c>
      <c r="X26">
        <v>147</v>
      </c>
      <c r="Y26">
        <v>289</v>
      </c>
      <c r="Z26">
        <v>688</v>
      </c>
      <c r="AA26">
        <v>288</v>
      </c>
      <c r="AB26">
        <v>211</v>
      </c>
    </row>
    <row r="27" spans="2:28" x14ac:dyDescent="0.2">
      <c r="B27">
        <v>2001</v>
      </c>
      <c r="C27" s="5">
        <f t="shared" si="0"/>
        <v>22.35016216216216</v>
      </c>
      <c r="D27" s="5">
        <f t="shared" si="1"/>
        <v>10.67935135135135</v>
      </c>
      <c r="E27" s="5">
        <f t="shared" si="2"/>
        <v>10.194810810810807</v>
      </c>
      <c r="F27" s="5">
        <f t="shared" si="3"/>
        <v>9.6324324324324309</v>
      </c>
      <c r="G27" s="5">
        <f t="shared" si="4"/>
        <v>11.944216216216216</v>
      </c>
      <c r="H27" s="5">
        <f t="shared" si="5"/>
        <v>21.191351351351351</v>
      </c>
      <c r="I27" s="5">
        <f t="shared" si="6"/>
        <v>28.65405405405405</v>
      </c>
      <c r="J27" s="5">
        <f t="shared" si="7"/>
        <v>61.07</v>
      </c>
      <c r="K27" s="5">
        <f t="shared" si="8"/>
        <v>59.545945945945938</v>
      </c>
      <c r="L27" s="5">
        <f t="shared" si="9"/>
        <v>44.639999999999993</v>
      </c>
      <c r="M27" s="5">
        <f t="shared" si="10"/>
        <v>35.318918918918918</v>
      </c>
      <c r="N27" s="5">
        <f t="shared" si="11"/>
        <v>21.596108108108105</v>
      </c>
      <c r="O27" s="6">
        <f t="shared" si="12"/>
        <v>336.81735135135136</v>
      </c>
      <c r="Q27">
        <v>74.099999999999994</v>
      </c>
      <c r="R27">
        <v>39.200000000000003</v>
      </c>
      <c r="S27">
        <v>33.799999999999997</v>
      </c>
      <c r="T27">
        <v>33</v>
      </c>
      <c r="U27">
        <v>39.6</v>
      </c>
      <c r="V27">
        <v>72.599999999999994</v>
      </c>
      <c r="W27">
        <v>95</v>
      </c>
      <c r="X27">
        <v>242</v>
      </c>
      <c r="Y27">
        <v>204</v>
      </c>
      <c r="Z27">
        <v>148</v>
      </c>
      <c r="AA27">
        <v>121</v>
      </c>
      <c r="AB27">
        <v>71.599999999999994</v>
      </c>
    </row>
    <row r="28" spans="2:28" x14ac:dyDescent="0.2">
      <c r="B28">
        <v>2002</v>
      </c>
      <c r="C28" s="5">
        <f t="shared" si="0"/>
        <v>19.786378378378373</v>
      </c>
      <c r="D28" s="5">
        <f t="shared" si="1"/>
        <v>9.5351351351351354</v>
      </c>
      <c r="E28" s="5">
        <f t="shared" si="2"/>
        <v>9.289945945945945</v>
      </c>
      <c r="F28" s="5">
        <f t="shared" si="3"/>
        <v>7.5308108108108103</v>
      </c>
      <c r="G28" s="5">
        <f t="shared" si="4"/>
        <v>6.6055135135135119</v>
      </c>
      <c r="H28" s="5">
        <f t="shared" si="5"/>
        <v>23.322162162162158</v>
      </c>
      <c r="I28" s="5">
        <f t="shared" si="6"/>
        <v>19.062486486486485</v>
      </c>
      <c r="J28" s="5">
        <f t="shared" si="7"/>
        <v>61.07</v>
      </c>
      <c r="K28" s="5">
        <f t="shared" si="8"/>
        <v>61.07</v>
      </c>
      <c r="L28" s="5">
        <f t="shared" si="9"/>
        <v>44.036756756756752</v>
      </c>
      <c r="M28" s="5">
        <f t="shared" si="10"/>
        <v>35.610810810810804</v>
      </c>
      <c r="N28" s="5">
        <f t="shared" si="11"/>
        <v>19.152972972972972</v>
      </c>
      <c r="O28" s="6">
        <f t="shared" si="12"/>
        <v>316.07297297297293</v>
      </c>
      <c r="Q28">
        <v>65.599999999999994</v>
      </c>
      <c r="R28">
        <v>35</v>
      </c>
      <c r="S28">
        <v>30.8</v>
      </c>
      <c r="T28">
        <v>25.8</v>
      </c>
      <c r="U28">
        <v>21.9</v>
      </c>
      <c r="V28">
        <v>79.900000000000006</v>
      </c>
      <c r="W28">
        <v>63.2</v>
      </c>
      <c r="X28">
        <v>304</v>
      </c>
      <c r="Y28">
        <v>225</v>
      </c>
      <c r="Z28">
        <v>146</v>
      </c>
      <c r="AA28">
        <v>122</v>
      </c>
      <c r="AB28">
        <v>63.5</v>
      </c>
    </row>
    <row r="29" spans="2:28" x14ac:dyDescent="0.2">
      <c r="B29">
        <v>2003</v>
      </c>
      <c r="C29" s="5">
        <f t="shared" si="0"/>
        <v>15.623999999999999</v>
      </c>
      <c r="D29" s="5">
        <f t="shared" si="1"/>
        <v>10.161729729729728</v>
      </c>
      <c r="E29" s="5">
        <f t="shared" si="2"/>
        <v>8.4454054054054044</v>
      </c>
      <c r="F29" s="5">
        <f t="shared" si="3"/>
        <v>6.9762162162162156</v>
      </c>
      <c r="G29" s="5">
        <f t="shared" si="4"/>
        <v>15.804972972972973</v>
      </c>
      <c r="H29" s="5">
        <f t="shared" si="5"/>
        <v>18.155675675675674</v>
      </c>
      <c r="I29" s="5">
        <f t="shared" si="6"/>
        <v>24.793297297297297</v>
      </c>
      <c r="J29" s="5">
        <f t="shared" si="7"/>
        <v>38.004324324324315</v>
      </c>
      <c r="K29" s="5">
        <f t="shared" si="8"/>
        <v>49.913513513513507</v>
      </c>
      <c r="L29" s="5">
        <f t="shared" si="9"/>
        <v>49.46594594594594</v>
      </c>
      <c r="M29" s="5">
        <f t="shared" si="10"/>
        <v>31.232432432432429</v>
      </c>
      <c r="N29" s="5">
        <f t="shared" si="11"/>
        <v>16.800324324324322</v>
      </c>
      <c r="O29" s="6">
        <f t="shared" si="12"/>
        <v>285.37783783783783</v>
      </c>
      <c r="Q29">
        <v>51.8</v>
      </c>
      <c r="R29">
        <v>37.299999999999997</v>
      </c>
      <c r="S29">
        <v>28</v>
      </c>
      <c r="T29">
        <v>23.9</v>
      </c>
      <c r="U29">
        <v>52.4</v>
      </c>
      <c r="V29">
        <v>62.2</v>
      </c>
      <c r="W29">
        <v>82.2</v>
      </c>
      <c r="X29">
        <v>126</v>
      </c>
      <c r="Y29">
        <v>171</v>
      </c>
      <c r="Z29">
        <v>164</v>
      </c>
      <c r="AA29">
        <v>107</v>
      </c>
      <c r="AB29">
        <v>55.7</v>
      </c>
    </row>
    <row r="30" spans="2:28" x14ac:dyDescent="0.2">
      <c r="B30">
        <v>2004</v>
      </c>
      <c r="C30" s="5">
        <f t="shared" si="0"/>
        <v>13.030054054054055</v>
      </c>
      <c r="D30" s="5">
        <f t="shared" si="1"/>
        <v>8.2391351351351325</v>
      </c>
      <c r="E30" s="5">
        <f t="shared" si="2"/>
        <v>6.4547027027027015</v>
      </c>
      <c r="F30" s="5">
        <f t="shared" si="3"/>
        <v>7.4724324324324316</v>
      </c>
      <c r="G30" s="5">
        <f t="shared" si="4"/>
        <v>9.018486486486486</v>
      </c>
      <c r="H30" s="5">
        <f t="shared" si="5"/>
        <v>17.60108108108108</v>
      </c>
      <c r="I30" s="5">
        <f t="shared" si="6"/>
        <v>18.368756756756756</v>
      </c>
      <c r="J30" s="5">
        <f t="shared" si="7"/>
        <v>45.544864864864863</v>
      </c>
      <c r="K30" s="5">
        <f t="shared" si="8"/>
        <v>27.467027027027026</v>
      </c>
      <c r="L30" s="5">
        <f t="shared" si="9"/>
        <v>17.373405405405403</v>
      </c>
      <c r="M30" s="5">
        <f t="shared" si="10"/>
        <v>9.486486486486486</v>
      </c>
      <c r="N30" s="5">
        <f t="shared" si="11"/>
        <v>6.7563243243243232</v>
      </c>
      <c r="O30" s="6">
        <f t="shared" si="12"/>
        <v>186.81275675675673</v>
      </c>
      <c r="Q30">
        <v>43.2</v>
      </c>
      <c r="R30">
        <v>29.2</v>
      </c>
      <c r="S30">
        <v>21.4</v>
      </c>
      <c r="T30">
        <v>25.6</v>
      </c>
      <c r="U30">
        <v>29.9</v>
      </c>
      <c r="V30">
        <v>60.3</v>
      </c>
      <c r="W30">
        <v>60.9</v>
      </c>
      <c r="X30">
        <v>151</v>
      </c>
      <c r="Y30">
        <v>94.1</v>
      </c>
      <c r="Z30">
        <v>57.6</v>
      </c>
      <c r="AA30">
        <v>32.5</v>
      </c>
      <c r="AB30">
        <v>22.4</v>
      </c>
    </row>
    <row r="31" spans="2:28" x14ac:dyDescent="0.2">
      <c r="B31">
        <v>2005</v>
      </c>
      <c r="C31" s="5">
        <f t="shared" si="0"/>
        <v>5.3990270270270262</v>
      </c>
      <c r="D31" s="5">
        <f t="shared" si="1"/>
        <v>4.0864864864864865</v>
      </c>
      <c r="E31" s="5">
        <f t="shared" si="2"/>
        <v>3.9512432432432432</v>
      </c>
      <c r="F31" s="5">
        <f t="shared" si="3"/>
        <v>3.9697297297297292</v>
      </c>
      <c r="G31" s="5">
        <f t="shared" si="4"/>
        <v>6.0022702702702695</v>
      </c>
      <c r="H31" s="5">
        <f t="shared" si="5"/>
        <v>7.5016216216216209</v>
      </c>
      <c r="I31" s="5">
        <f t="shared" si="6"/>
        <v>14.146054054054053</v>
      </c>
      <c r="J31" s="5">
        <f t="shared" si="7"/>
        <v>28.623891891891894</v>
      </c>
      <c r="K31" s="5">
        <f t="shared" si="8"/>
        <v>61.07</v>
      </c>
      <c r="L31" s="5">
        <f t="shared" si="9"/>
        <v>35.591351351351349</v>
      </c>
      <c r="M31" s="5">
        <f t="shared" si="10"/>
        <v>19.877837837837834</v>
      </c>
      <c r="N31" s="5">
        <f t="shared" si="11"/>
        <v>50.974054054054051</v>
      </c>
      <c r="O31" s="6">
        <f t="shared" si="12"/>
        <v>241.19356756756756</v>
      </c>
      <c r="Q31">
        <v>17.899999999999999</v>
      </c>
      <c r="R31">
        <v>15</v>
      </c>
      <c r="S31">
        <v>13.1</v>
      </c>
      <c r="T31">
        <v>13.6</v>
      </c>
      <c r="U31">
        <v>19.899999999999999</v>
      </c>
      <c r="V31">
        <v>25.7</v>
      </c>
      <c r="W31">
        <v>46.9</v>
      </c>
      <c r="X31">
        <v>94.9</v>
      </c>
      <c r="Y31">
        <v>217</v>
      </c>
      <c r="Z31">
        <v>118</v>
      </c>
      <c r="AA31">
        <v>68.099999999999994</v>
      </c>
      <c r="AB31">
        <v>169</v>
      </c>
    </row>
    <row r="32" spans="2:28" x14ac:dyDescent="0.2">
      <c r="B32">
        <v>2006</v>
      </c>
      <c r="C32" s="5">
        <f t="shared" si="0"/>
        <v>16.619351351351352</v>
      </c>
      <c r="D32" s="5">
        <f t="shared" si="1"/>
        <v>11.19697297297297</v>
      </c>
      <c r="E32" s="5">
        <f t="shared" si="2"/>
        <v>10.617081081081082</v>
      </c>
      <c r="F32" s="5">
        <f t="shared" si="3"/>
        <v>10.566486486486486</v>
      </c>
      <c r="G32" s="5">
        <f t="shared" si="4"/>
        <v>12.064864864864864</v>
      </c>
      <c r="H32" s="5">
        <f t="shared" si="5"/>
        <v>13.952432432432431</v>
      </c>
      <c r="I32" s="5">
        <f t="shared" si="6"/>
        <v>32.876756756756755</v>
      </c>
      <c r="J32" s="5">
        <f t="shared" si="7"/>
        <v>60.625945945945944</v>
      </c>
      <c r="K32" s="5">
        <f t="shared" si="8"/>
        <v>47.870270270270268</v>
      </c>
      <c r="L32" s="5">
        <f t="shared" si="9"/>
        <v>61.07</v>
      </c>
      <c r="M32" s="5">
        <f t="shared" si="10"/>
        <v>20.578378378378375</v>
      </c>
      <c r="N32" s="5">
        <f t="shared" si="11"/>
        <v>15.533513513513514</v>
      </c>
      <c r="O32" s="6">
        <f t="shared" si="12"/>
        <v>313.57205405405404</v>
      </c>
      <c r="Q32">
        <v>55.1</v>
      </c>
      <c r="R32">
        <v>41.1</v>
      </c>
      <c r="S32">
        <v>35.200000000000003</v>
      </c>
      <c r="T32">
        <v>36.200000000000003</v>
      </c>
      <c r="U32">
        <v>40</v>
      </c>
      <c r="V32">
        <v>47.8</v>
      </c>
      <c r="W32">
        <v>109</v>
      </c>
      <c r="X32">
        <v>201</v>
      </c>
      <c r="Y32">
        <v>164</v>
      </c>
      <c r="Z32">
        <v>230</v>
      </c>
      <c r="AA32">
        <v>70.5</v>
      </c>
      <c r="AB32">
        <v>51.5</v>
      </c>
    </row>
    <row r="33" spans="2:28" x14ac:dyDescent="0.2">
      <c r="B33">
        <v>2007</v>
      </c>
      <c r="C33" s="5">
        <f t="shared" si="0"/>
        <v>13.391999999999998</v>
      </c>
      <c r="D33" s="5">
        <f t="shared" si="1"/>
        <v>8.2274594594594586</v>
      </c>
      <c r="E33" s="5">
        <f t="shared" si="2"/>
        <v>8.0834594594594584</v>
      </c>
      <c r="F33" s="5">
        <f t="shared" si="3"/>
        <v>7.3556756756756752</v>
      </c>
      <c r="G33" s="5">
        <f t="shared" si="4"/>
        <v>15.171567567567566</v>
      </c>
      <c r="H33" s="5">
        <f t="shared" si="5"/>
        <v>19.294054054054047</v>
      </c>
      <c r="I33" s="5">
        <f t="shared" si="6"/>
        <v>33.178378378378376</v>
      </c>
      <c r="J33" s="5">
        <f t="shared" si="7"/>
        <v>61.07</v>
      </c>
      <c r="K33" s="5">
        <f t="shared" si="8"/>
        <v>61.07</v>
      </c>
      <c r="L33" s="5">
        <f t="shared" si="9"/>
        <v>61.07</v>
      </c>
      <c r="M33" s="5">
        <f t="shared" si="10"/>
        <v>56.043243243243239</v>
      </c>
      <c r="N33" s="5">
        <f t="shared" si="11"/>
        <v>28.714378378378377</v>
      </c>
      <c r="O33" s="6">
        <f t="shared" si="12"/>
        <v>372.6702162162162</v>
      </c>
      <c r="Q33">
        <v>44.4</v>
      </c>
      <c r="R33">
        <v>30.2</v>
      </c>
      <c r="S33">
        <v>26.8</v>
      </c>
      <c r="T33">
        <v>25.2</v>
      </c>
      <c r="U33">
        <v>50.3</v>
      </c>
      <c r="V33">
        <v>66.099999999999994</v>
      </c>
      <c r="W33">
        <v>110</v>
      </c>
      <c r="X33">
        <v>374</v>
      </c>
      <c r="Y33">
        <v>273</v>
      </c>
      <c r="Z33">
        <v>284</v>
      </c>
      <c r="AA33">
        <v>192</v>
      </c>
      <c r="AB33">
        <v>95.2</v>
      </c>
    </row>
    <row r="34" spans="2:28" x14ac:dyDescent="0.2">
      <c r="B34">
        <v>2008</v>
      </c>
      <c r="C34" s="5">
        <f t="shared" si="0"/>
        <v>20.389621621621615</v>
      </c>
      <c r="D34" s="5">
        <f t="shared" si="1"/>
        <v>14.220972972972971</v>
      </c>
      <c r="E34" s="5">
        <f t="shared" si="2"/>
        <v>11.974378378378379</v>
      </c>
      <c r="F34" s="5">
        <f t="shared" si="3"/>
        <v>10.332972972972973</v>
      </c>
      <c r="G34" s="5">
        <f t="shared" si="4"/>
        <v>15.835135135135133</v>
      </c>
      <c r="H34" s="5">
        <f t="shared" si="5"/>
        <v>14.857297297297295</v>
      </c>
      <c r="I34" s="5">
        <f t="shared" si="6"/>
        <v>18.7307027027027</v>
      </c>
      <c r="J34" s="5">
        <f t="shared" si="7"/>
        <v>31.97189189189189</v>
      </c>
      <c r="K34" s="5">
        <f t="shared" si="8"/>
        <v>34.443243243243238</v>
      </c>
      <c r="L34" s="5">
        <f t="shared" si="9"/>
        <v>38.004324324324315</v>
      </c>
      <c r="M34" s="5">
        <f t="shared" si="10"/>
        <v>40.57297297297297</v>
      </c>
      <c r="N34" s="5">
        <f t="shared" si="11"/>
        <v>23.918594594594595</v>
      </c>
      <c r="O34" s="6">
        <f t="shared" si="12"/>
        <v>275.25210810810802</v>
      </c>
      <c r="Q34">
        <v>67.599999999999994</v>
      </c>
      <c r="R34">
        <v>50.4</v>
      </c>
      <c r="S34">
        <v>39.700000000000003</v>
      </c>
      <c r="T34">
        <v>35.4</v>
      </c>
      <c r="U34">
        <v>52.5</v>
      </c>
      <c r="V34">
        <v>50.9</v>
      </c>
      <c r="W34">
        <v>62.1</v>
      </c>
      <c r="X34">
        <v>106</v>
      </c>
      <c r="Y34">
        <v>118</v>
      </c>
      <c r="Z34">
        <v>126</v>
      </c>
      <c r="AA34">
        <v>139</v>
      </c>
      <c r="AB34">
        <v>79.3</v>
      </c>
    </row>
    <row r="35" spans="2:28" x14ac:dyDescent="0.2">
      <c r="B35">
        <v>2009</v>
      </c>
      <c r="C35" s="5">
        <f t="shared" si="0"/>
        <v>20.389621621621615</v>
      </c>
      <c r="D35" s="5">
        <f t="shared" si="1"/>
        <v>13.730594594594596</v>
      </c>
      <c r="E35" s="5">
        <f t="shared" si="2"/>
        <v>11.974378378378379</v>
      </c>
      <c r="F35" s="5">
        <f t="shared" si="3"/>
        <v>10.332972972972973</v>
      </c>
      <c r="G35" s="5">
        <f t="shared" si="4"/>
        <v>15.835135135135133</v>
      </c>
      <c r="H35" s="5">
        <f t="shared" si="5"/>
        <v>14.857297297297295</v>
      </c>
      <c r="I35" s="5">
        <f t="shared" si="6"/>
        <v>18.7307027027027</v>
      </c>
      <c r="J35" s="5">
        <f t="shared" si="7"/>
        <v>31.97189189189189</v>
      </c>
      <c r="K35" s="5">
        <f t="shared" si="8"/>
        <v>34.443243243243238</v>
      </c>
      <c r="L35" s="5">
        <f t="shared" si="9"/>
        <v>38.004324324324315</v>
      </c>
      <c r="M35" s="5">
        <f t="shared" si="10"/>
        <v>40.57297297297297</v>
      </c>
      <c r="N35" s="5">
        <f t="shared" si="11"/>
        <v>23.918594594594595</v>
      </c>
      <c r="O35" s="6">
        <f t="shared" si="12"/>
        <v>274.76172972972972</v>
      </c>
      <c r="Q35">
        <v>67.599999999999994</v>
      </c>
      <c r="R35">
        <v>50.4</v>
      </c>
      <c r="S35">
        <v>39.700000000000003</v>
      </c>
      <c r="T35">
        <v>35.4</v>
      </c>
      <c r="U35">
        <v>52.5</v>
      </c>
      <c r="V35">
        <v>50.9</v>
      </c>
      <c r="W35">
        <v>62.1</v>
      </c>
      <c r="X35">
        <v>106</v>
      </c>
      <c r="Y35">
        <v>118</v>
      </c>
      <c r="Z35">
        <v>126</v>
      </c>
      <c r="AA35">
        <v>139</v>
      </c>
      <c r="AB35">
        <v>79.3</v>
      </c>
    </row>
    <row r="36" spans="2:28" x14ac:dyDescent="0.2">
      <c r="B36">
        <v>2010</v>
      </c>
      <c r="C36" s="5">
        <f t="shared" si="0"/>
        <v>16.034088648648645</v>
      </c>
      <c r="D36" s="5">
        <f t="shared" si="1"/>
        <v>9.0586410810810793</v>
      </c>
      <c r="E36" s="5">
        <f t="shared" si="2"/>
        <v>7.5094735135135133</v>
      </c>
      <c r="F36" s="5">
        <f t="shared" si="3"/>
        <v>7.7386377027022837</v>
      </c>
      <c r="G36" s="5">
        <f t="shared" si="4"/>
        <v>10.114521081081078</v>
      </c>
      <c r="H36" s="5">
        <f t="shared" si="5"/>
        <v>13.731732972972969</v>
      </c>
      <c r="I36" s="5">
        <f t="shared" si="6"/>
        <v>18.850599864866364</v>
      </c>
      <c r="J36" s="5">
        <f t="shared" si="7"/>
        <v>26.568457297297293</v>
      </c>
      <c r="K36" s="5">
        <f t="shared" si="8"/>
        <v>25.086843243243244</v>
      </c>
      <c r="L36" s="5">
        <f t="shared" si="9"/>
        <v>34.561050810810812</v>
      </c>
      <c r="M36" s="5">
        <f t="shared" si="10"/>
        <v>51.483053603603736</v>
      </c>
      <c r="N36" s="5">
        <f t="shared" si="11"/>
        <v>26.371264864864859</v>
      </c>
      <c r="O36" s="6">
        <f t="shared" si="12"/>
        <v>247.10836468468585</v>
      </c>
      <c r="Q36" s="8">
        <v>53.159612903225799</v>
      </c>
      <c r="R36" s="8">
        <v>33.250964285714289</v>
      </c>
      <c r="S36" s="8">
        <v>24.897000000000006</v>
      </c>
      <c r="T36" s="8">
        <v>26.511999537035603</v>
      </c>
      <c r="U36" s="8">
        <v>33.533806451612897</v>
      </c>
      <c r="V36" s="8">
        <v>47.043899999999994</v>
      </c>
      <c r="W36" s="8">
        <v>62.497508512549778</v>
      </c>
      <c r="X36" s="8">
        <v>88.085387096774198</v>
      </c>
      <c r="Y36" s="8">
        <v>85.945666666666682</v>
      </c>
      <c r="Z36" s="8">
        <v>114.58412903225809</v>
      </c>
      <c r="AA36" s="8">
        <v>176.37712808642021</v>
      </c>
      <c r="AB36" s="8">
        <v>87.431612903225798</v>
      </c>
    </row>
    <row r="37" spans="2:28" ht="15" x14ac:dyDescent="0.25">
      <c r="B37" s="9">
        <v>2011</v>
      </c>
      <c r="C37" s="10">
        <f>'[1]2011'!C3</f>
        <v>20.360220000000009</v>
      </c>
      <c r="D37" s="10">
        <f>'[1]2011'!D3</f>
        <v>13.233499999999999</v>
      </c>
      <c r="E37" s="10">
        <f>'[1]2011'!E3</f>
        <v>32.383919999999989</v>
      </c>
      <c r="F37" s="10">
        <f>'[1]2011'!F3</f>
        <v>22.10473</v>
      </c>
      <c r="G37" s="10">
        <f>'[1]2011'!G3</f>
        <v>13.201589999999999</v>
      </c>
      <c r="H37" s="10">
        <f>'[1]2011'!H3</f>
        <v>23.40821</v>
      </c>
      <c r="I37" s="10">
        <f>'[1]2011'!I3</f>
        <v>26.187750000000001</v>
      </c>
      <c r="J37" s="10">
        <f>'[1]2011'!J3</f>
        <v>32.645659999999999</v>
      </c>
      <c r="K37" s="10">
        <f>'[1]2011'!K3</f>
        <v>24.484770000000001</v>
      </c>
      <c r="L37" s="10">
        <f>'[1]2011'!L3</f>
        <v>57.841043999999997</v>
      </c>
      <c r="M37" s="10">
        <f>'[1]2011'!M3</f>
        <v>40.546990000000001</v>
      </c>
      <c r="N37" s="10">
        <f>'[1]2011'!N3</f>
        <v>35.038040000000002</v>
      </c>
      <c r="O37" s="11">
        <f>SUM(C37:N37)</f>
        <v>341.43642399999999</v>
      </c>
      <c r="Q37" s="8">
        <v>38.738900836320433</v>
      </c>
      <c r="R37" s="8">
        <v>27.375714285714288</v>
      </c>
      <c r="S37" s="8">
        <v>31.266451612903225</v>
      </c>
      <c r="T37" s="8">
        <v>28.102333333333331</v>
      </c>
      <c r="U37" s="8">
        <v>44.50928248207201</v>
      </c>
      <c r="V37" s="8">
        <v>93.037875231509133</v>
      </c>
      <c r="W37" s="8">
        <v>99.70354838709676</v>
      </c>
      <c r="X37" s="8">
        <v>132.49586648744747</v>
      </c>
      <c r="Y37" s="8">
        <v>178.27868518519443</v>
      </c>
      <c r="Z37" s="8">
        <v>269.91673596172609</v>
      </c>
      <c r="AA37" s="8">
        <v>114.62363580246019</v>
      </c>
      <c r="AB37" s="8">
        <v>78.933500597372273</v>
      </c>
    </row>
    <row r="38" spans="2:28" ht="15" x14ac:dyDescent="0.25">
      <c r="B38" s="12">
        <v>2012</v>
      </c>
      <c r="C38" s="8">
        <f>'[1]2012'!C3</f>
        <v>17.593199999999996</v>
      </c>
      <c r="D38" s="8">
        <f>'[1]2012'!D3</f>
        <v>24.945170000000036</v>
      </c>
      <c r="E38" s="8">
        <f>'[1]2012'!E3</f>
        <v>30.776419999999984</v>
      </c>
      <c r="F38" s="8">
        <f>'[1]2012'!F3</f>
        <v>18.331620000000012</v>
      </c>
      <c r="G38" s="8">
        <f>'[1]2012'!G3</f>
        <v>32.240810000000003</v>
      </c>
      <c r="H38" s="8">
        <f>'[1]2012'!H3</f>
        <v>18.239860000000004</v>
      </c>
      <c r="I38" s="8">
        <f>'[1]2012'!I3</f>
        <v>23.386310000000002</v>
      </c>
      <c r="J38" s="8">
        <f>'[1]2012'!J3</f>
        <v>24.5884</v>
      </c>
      <c r="K38" s="8">
        <f>'[1]2012'!K3</f>
        <v>20.333479999999973</v>
      </c>
      <c r="L38" s="8">
        <f>'[1]2012'!L3</f>
        <v>61.827579999999998</v>
      </c>
      <c r="M38" s="8">
        <f>'[1]2012'!M3</f>
        <v>45.540440000000011</v>
      </c>
      <c r="N38" s="8">
        <f>'[1]2012'!N3</f>
        <v>26.213860000000061</v>
      </c>
      <c r="O38" s="13">
        <f t="shared" ref="O38:O51" si="13">SUM(C38:N38)</f>
        <v>344.01715000000007</v>
      </c>
      <c r="Q38" s="8">
        <v>55.972894265237954</v>
      </c>
      <c r="R38" s="8">
        <v>40.181792784181681</v>
      </c>
      <c r="S38" s="8">
        <v>32.362717517938343</v>
      </c>
      <c r="T38" s="8">
        <v>67.798986111149347</v>
      </c>
      <c r="U38" s="8">
        <v>64.25935573475536</v>
      </c>
      <c r="V38" s="8">
        <v>69.118345679022283</v>
      </c>
      <c r="W38" s="8">
        <v>99.439608721656029</v>
      </c>
      <c r="X38" s="8">
        <v>99.352768070596838</v>
      </c>
      <c r="Y38" s="8">
        <v>216.54865725316139</v>
      </c>
      <c r="Z38" s="8">
        <v>230.99617682199681</v>
      </c>
      <c r="AA38" s="8">
        <v>85.825743827153886</v>
      </c>
      <c r="AB38" s="8">
        <v>50.229206989236509</v>
      </c>
    </row>
    <row r="39" spans="2:28" ht="15" x14ac:dyDescent="0.25">
      <c r="B39" s="12">
        <v>2013</v>
      </c>
      <c r="C39" s="8">
        <f>'[1]2013'!C3</f>
        <v>14.871199999999954</v>
      </c>
      <c r="D39" s="8">
        <f>'[1]2013'!D3</f>
        <v>12.562000000000058</v>
      </c>
      <c r="E39" s="8">
        <f>'[1]2013'!E3</f>
        <v>19.831499999999998</v>
      </c>
      <c r="F39" s="8">
        <f>'[1]2013'!F3</f>
        <v>15.300799999999988</v>
      </c>
      <c r="G39" s="8">
        <f>'[1]2013'!G3</f>
        <v>14.842599999999917</v>
      </c>
      <c r="H39" s="8">
        <f>'[1]2013'!H3</f>
        <v>25.203587000000027</v>
      </c>
      <c r="I39" s="8">
        <f>'[1]2013'!I3</f>
        <v>28.08679999999999</v>
      </c>
      <c r="J39" s="8">
        <f>'[1]2013'!J3</f>
        <v>28.797600000000035</v>
      </c>
      <c r="K39" s="8">
        <f>'[1]2013'!K3</f>
        <v>27.668199999999956</v>
      </c>
      <c r="L39" s="8">
        <f>'[1]2013'!L3</f>
        <v>52.665999999999997</v>
      </c>
      <c r="M39" s="8">
        <f>'[1]2013'!M3</f>
        <v>29.38620000000007</v>
      </c>
      <c r="N39" s="8">
        <f>'[1]2013'!N3</f>
        <v>23.657800000000044</v>
      </c>
      <c r="O39" s="13">
        <f t="shared" si="13"/>
        <v>292.87428700000009</v>
      </c>
      <c r="Q39" s="8">
        <v>41.046547192375925</v>
      </c>
      <c r="R39" s="8">
        <v>28.786989252657925</v>
      </c>
      <c r="S39" s="8">
        <v>25.524187948015204</v>
      </c>
      <c r="T39" s="8">
        <v>31.451485185186737</v>
      </c>
      <c r="U39" s="8">
        <v>50.590147849364676</v>
      </c>
      <c r="V39" s="8">
        <v>99.378532407469706</v>
      </c>
      <c r="W39" s="8">
        <v>133.13818443851662</v>
      </c>
      <c r="X39" s="8">
        <v>128.81654136793136</v>
      </c>
      <c r="Y39" s="8">
        <v>188.24694506176547</v>
      </c>
      <c r="Z39" s="8">
        <v>161.75350209077899</v>
      </c>
      <c r="AA39" s="8">
        <v>97.149582716033137</v>
      </c>
      <c r="AB39" s="8">
        <v>56.430753882905776</v>
      </c>
    </row>
    <row r="40" spans="2:28" ht="15" x14ac:dyDescent="0.25">
      <c r="B40" s="12">
        <v>2014</v>
      </c>
      <c r="C40" s="8">
        <f>'[1]2014'!C3</f>
        <v>25.792999999999999</v>
      </c>
      <c r="D40" s="8">
        <f>'[1]2014'!D3</f>
        <v>25.095699999999955</v>
      </c>
      <c r="E40" s="8">
        <f>'[1]2014'!E3</f>
        <v>29.489099999999979</v>
      </c>
      <c r="F40" s="8">
        <f>'[1]2014'!F3</f>
        <v>14.045010000000008</v>
      </c>
      <c r="G40" s="8">
        <f>'[1]2014'!G3</f>
        <v>10.383187</v>
      </c>
      <c r="H40" s="8">
        <f>'[1]2014'!H3</f>
        <v>19.245000000000001</v>
      </c>
      <c r="I40" s="8">
        <f>'[1]2014'!I3</f>
        <v>42.027600000000092</v>
      </c>
      <c r="J40" s="8">
        <f>'[1]2014'!J3</f>
        <v>38.610900000000022</v>
      </c>
      <c r="K40" s="8">
        <f>'[1]2014'!K3</f>
        <v>32.21689999999991</v>
      </c>
      <c r="L40" s="8">
        <f>'[1]2014'!L3</f>
        <v>50.42570000000007</v>
      </c>
      <c r="M40" s="8">
        <f>'[1]2014'!M3</f>
        <v>17.23429999999993</v>
      </c>
      <c r="N40" s="8">
        <f>'[1]2014'!N3</f>
        <v>17.038914999999978</v>
      </c>
      <c r="O40" s="13">
        <f t="shared" si="13"/>
        <v>321.60531199999991</v>
      </c>
      <c r="Q40" s="8">
        <v>35.146559737070518</v>
      </c>
      <c r="R40" s="8">
        <v>27.15906580688775</v>
      </c>
      <c r="S40" s="8">
        <v>23.631079375733613</v>
      </c>
      <c r="T40" s="8">
        <v>40.349888271594381</v>
      </c>
      <c r="U40" s="8">
        <v>51.112523894887069</v>
      </c>
      <c r="V40" s="8">
        <v>91.451206790143999</v>
      </c>
      <c r="W40" s="8">
        <v>161.72910170254349</v>
      </c>
      <c r="X40" s="8">
        <v>192.08524955206752</v>
      </c>
      <c r="Y40" s="8">
        <v>178.71934567903116</v>
      </c>
      <c r="Z40" s="8">
        <v>117.00135394264403</v>
      </c>
      <c r="AA40" s="8">
        <v>66.744210493805511</v>
      </c>
      <c r="AB40" s="8">
        <v>56.586698924764292</v>
      </c>
    </row>
    <row r="41" spans="2:28" ht="15" x14ac:dyDescent="0.25">
      <c r="B41" s="12">
        <v>2015</v>
      </c>
      <c r="C41" s="8">
        <f>'[1]2015'!C3</f>
        <v>19.655700000000071</v>
      </c>
      <c r="D41" s="8">
        <f>'[1]2015'!D3</f>
        <v>16.195399999999907</v>
      </c>
      <c r="E41" s="8">
        <f>'[1]2015'!E3</f>
        <v>21.992599999999978</v>
      </c>
      <c r="F41" s="8">
        <f>'[1]2015'!F3</f>
        <v>19.548800000000163</v>
      </c>
      <c r="G41" s="8">
        <f>'[1]2015'!G3</f>
        <v>14.585599999999861</v>
      </c>
      <c r="H41" s="8">
        <f>'[1]2015'!H3</f>
        <v>16.866854000000092</v>
      </c>
      <c r="I41" s="8">
        <f>'[1]2015'!I3</f>
        <v>30.453499999999998</v>
      </c>
      <c r="J41" s="8">
        <f>'[1]2015'!J3</f>
        <v>23.635599999999979</v>
      </c>
      <c r="K41" s="8">
        <f>'[1]2015'!K3</f>
        <v>10.946999999999999</v>
      </c>
      <c r="L41" s="8">
        <f>'[1]2015'!L3</f>
        <v>5.6862000000000696</v>
      </c>
      <c r="M41" s="8">
        <f>'[1]2015'!M3</f>
        <v>6.8305999999999765</v>
      </c>
      <c r="N41" s="8">
        <f>'[1]2015'!N3</f>
        <v>11.53079999999993</v>
      </c>
      <c r="O41" s="13">
        <f t="shared" si="13"/>
        <v>197.92865400000005</v>
      </c>
      <c r="Q41" s="8">
        <v>36.899219235444427</v>
      </c>
      <c r="R41" s="8">
        <v>27.700377976303493</v>
      </c>
      <c r="S41" s="8">
        <v>21.834744250359524</v>
      </c>
      <c r="T41" s="8">
        <v>20.873681249971828</v>
      </c>
      <c r="U41" s="8">
        <v>32.755230510842587</v>
      </c>
      <c r="V41" s="8">
        <v>65.172759490823239</v>
      </c>
      <c r="W41" s="8">
        <v>84.748947207350341</v>
      </c>
      <c r="X41" s="8">
        <v>100.64193548387097</v>
      </c>
      <c r="Y41" s="8">
        <v>89.368023865740454</v>
      </c>
      <c r="Z41" s="8">
        <v>95.338733042582007</v>
      </c>
      <c r="AA41" s="8">
        <v>65.611737461419381</v>
      </c>
      <c r="AB41" s="8">
        <v>49.560215247355998</v>
      </c>
    </row>
    <row r="42" spans="2:28" ht="15" x14ac:dyDescent="0.25">
      <c r="B42" s="12">
        <v>2016</v>
      </c>
      <c r="C42" s="8">
        <f>'[1]2016'!C3</f>
        <v>20.582000000000001</v>
      </c>
      <c r="D42" s="8">
        <f>'[1]2016'!D3</f>
        <v>14.816299999999929</v>
      </c>
      <c r="E42" s="8">
        <f>'[1]2016'!E3</f>
        <v>17.285700000000066</v>
      </c>
      <c r="F42" s="8">
        <f>'[1]2016'!F3</f>
        <v>16.085000000000001</v>
      </c>
      <c r="G42" s="8">
        <f>'[1]2016'!G3</f>
        <v>14.919699999999953</v>
      </c>
      <c r="H42" s="8">
        <f>'[1]2016'!H3</f>
        <v>13.799793000000115</v>
      </c>
      <c r="I42" s="8">
        <f>'[1]2016'!I3</f>
        <v>24.193314999999945</v>
      </c>
      <c r="J42" s="8">
        <f>'[1]2016'!J3</f>
        <v>24.424043999999991</v>
      </c>
      <c r="K42" s="8">
        <f>'[1]2016'!K3</f>
        <v>11.858167000000014</v>
      </c>
      <c r="L42" s="8">
        <f>'[1]2016'!L3</f>
        <v>39.069295000000047</v>
      </c>
      <c r="M42" s="8">
        <f>'[1]2016'!M3</f>
        <v>50.507664999999918</v>
      </c>
      <c r="N42" s="8">
        <f>'[1]2016'!N3</f>
        <v>46.910890000000137</v>
      </c>
      <c r="O42" s="13">
        <f t="shared" si="13"/>
        <v>294.4518690000001</v>
      </c>
      <c r="Q42" s="8">
        <v>29.580185111435593</v>
      </c>
      <c r="R42" s="8">
        <v>16.848667478675001</v>
      </c>
      <c r="S42" s="8">
        <v>18.407985485793549</v>
      </c>
      <c r="T42" s="8">
        <v>16.031014531152952</v>
      </c>
      <c r="U42" s="8">
        <v>33.494146653889509</v>
      </c>
      <c r="V42" s="8">
        <v>59.305720097166024</v>
      </c>
      <c r="W42" s="8">
        <v>76.74981678818763</v>
      </c>
      <c r="X42" s="8">
        <v>99.231310763888885</v>
      </c>
      <c r="Y42" s="8">
        <v>121.84469738618897</v>
      </c>
      <c r="Z42" s="8">
        <v>202.08879389572627</v>
      </c>
      <c r="AA42" s="8">
        <v>187.2208672249819</v>
      </c>
      <c r="AB42" s="8">
        <v>135.96849792845055</v>
      </c>
    </row>
    <row r="43" spans="2:28" ht="15" x14ac:dyDescent="0.25">
      <c r="B43" s="12">
        <v>2017</v>
      </c>
      <c r="C43" s="8">
        <f>'[1]2017'!C3</f>
        <v>31.364885999999821</v>
      </c>
      <c r="D43" s="8">
        <f>'[1]2017'!D3</f>
        <v>21.604490000000109</v>
      </c>
      <c r="E43" s="8">
        <f>'[1]2017'!E3</f>
        <v>24.754403000000053</v>
      </c>
      <c r="F43" s="8">
        <f>'[1]2017'!F3</f>
        <v>30.05861999999988</v>
      </c>
      <c r="G43" s="8">
        <f>'[1]2017'!G3</f>
        <v>35.617789999999928</v>
      </c>
      <c r="H43" s="8">
        <f>'[1]2017'!H3</f>
        <v>49.377231000000151</v>
      </c>
      <c r="I43" s="8">
        <f>'[1]2017'!I3</f>
        <v>26.841631999999986</v>
      </c>
      <c r="J43" s="8">
        <f>'[1]2017'!J3</f>
        <v>41.75631599999987</v>
      </c>
      <c r="K43" s="8">
        <f>'[1]2017'!K3</f>
        <v>61.071907000000117</v>
      </c>
      <c r="L43" s="8">
        <f>'[1]2017'!L3</f>
        <v>55.999551999999909</v>
      </c>
      <c r="M43" s="8">
        <f>'[1]2017'!M3</f>
        <v>54.194130000000122</v>
      </c>
      <c r="N43" s="8">
        <f>'[1]2017'!N3</f>
        <v>41.483336999999821</v>
      </c>
      <c r="O43" s="13">
        <f t="shared" si="13"/>
        <v>474.12429399999985</v>
      </c>
      <c r="Q43" s="8">
        <v>82.219469729025406</v>
      </c>
      <c r="R43" s="8">
        <v>52.005773137814423</v>
      </c>
      <c r="S43" s="8">
        <v>36.55785361077907</v>
      </c>
      <c r="T43" s="8">
        <v>43.784481540871404</v>
      </c>
      <c r="U43" s="8">
        <v>118.53983196664123</v>
      </c>
      <c r="V43" s="8">
        <v>102.65489337902204</v>
      </c>
      <c r="W43" s="8">
        <v>183.00931298605718</v>
      </c>
      <c r="X43" s="8">
        <v>189.46759352616743</v>
      </c>
      <c r="Y43" s="8">
        <v>162.03646946132204</v>
      </c>
      <c r="Z43" s="8">
        <v>187.77007677030474</v>
      </c>
      <c r="AA43" s="8">
        <v>185.4505127565362</v>
      </c>
      <c r="AB43" s="8">
        <v>118.3095881519756</v>
      </c>
    </row>
    <row r="44" spans="2:28" ht="15" x14ac:dyDescent="0.25">
      <c r="B44" s="12">
        <v>2018</v>
      </c>
      <c r="C44" s="8">
        <f>'[1]2018'!C3</f>
        <v>29.766293000000065</v>
      </c>
      <c r="D44" s="8">
        <f>'[1]2018'!D3</f>
        <v>25.200817000000271</v>
      </c>
      <c r="E44" s="8">
        <f>'[1]2018'!E3</f>
        <v>30.107095999999903</v>
      </c>
      <c r="F44" s="8">
        <f>'[1]2018'!F3</f>
        <v>24.195173</v>
      </c>
      <c r="G44" s="8">
        <f>'[1]2018'!G3</f>
        <v>15.153889999999665</v>
      </c>
      <c r="H44" s="8">
        <f>'[1]2018'!H3</f>
        <v>20.327558000000217</v>
      </c>
      <c r="I44" s="8">
        <f>'[1]2018'!I3</f>
        <v>30.515135000000242</v>
      </c>
      <c r="J44" s="8">
        <f>'[1]2018'!J3</f>
        <v>39.907780000000031</v>
      </c>
      <c r="K44" s="8">
        <f>'[1]2018'!K3</f>
        <v>53.387756999999745</v>
      </c>
      <c r="L44" s="8">
        <f>'[1]2018'!L3</f>
        <v>57.173652000000239</v>
      </c>
      <c r="M44" s="8">
        <f>'[1]2018'!M3</f>
        <v>24.243526999999769</v>
      </c>
      <c r="N44" s="8">
        <f>'[1]2018'!N3</f>
        <v>27.942357999999999</v>
      </c>
      <c r="O44" s="13">
        <f t="shared" si="13"/>
        <v>377.92103600000013</v>
      </c>
      <c r="Q44" s="8">
        <v>60.156740964755059</v>
      </c>
      <c r="R44" s="8">
        <v>39.041922395718593</v>
      </c>
      <c r="S44" s="8">
        <v>36.13144236323707</v>
      </c>
      <c r="T44" s="8">
        <v>29.832382908950844</v>
      </c>
      <c r="U44" s="8">
        <v>53.662190486857497</v>
      </c>
      <c r="V44" s="8">
        <v>69.586726820957182</v>
      </c>
      <c r="W44" s="8">
        <v>144.02002126632186</v>
      </c>
      <c r="X44" s="8">
        <v>225.96622996004422</v>
      </c>
      <c r="Y44" s="8">
        <v>218.48002961033882</v>
      </c>
      <c r="Z44" s="8">
        <v>116.32078511424751</v>
      </c>
      <c r="AA44" s="8">
        <v>91.773558063271778</v>
      </c>
      <c r="AB44" s="8">
        <v>84.968060161558284</v>
      </c>
    </row>
    <row r="45" spans="2:28" ht="15" x14ac:dyDescent="0.25">
      <c r="B45" s="12">
        <v>2019</v>
      </c>
      <c r="C45" s="8">
        <f>'[1]2019'!C3</f>
        <v>22.552581999999937</v>
      </c>
      <c r="D45" s="8">
        <f>'[1]2019'!D3</f>
        <v>20.843499000000065</v>
      </c>
      <c r="E45" s="8">
        <f>'[1]2019'!E3</f>
        <v>29.454128999999956</v>
      </c>
      <c r="F45" s="8">
        <f>'[1]2019'!F3</f>
        <v>20.305261000000172</v>
      </c>
      <c r="G45" s="8">
        <f>'[1]2019'!G3</f>
        <v>13.686037000000011</v>
      </c>
      <c r="H45" s="8">
        <f>'[1]2019'!H3</f>
        <v>10.809938999999796</v>
      </c>
      <c r="I45" s="8">
        <f>'[1]2019'!I3</f>
        <v>12.072376000000164</v>
      </c>
      <c r="J45" s="8">
        <f>'[1]2019'!J3</f>
        <v>35.882240999999922</v>
      </c>
      <c r="K45" s="8">
        <f>'[1]2019'!K3</f>
        <v>30.512249000000068</v>
      </c>
      <c r="L45" s="8">
        <f>'[1]2019'!L3</f>
        <v>41.633333999999998</v>
      </c>
      <c r="M45" s="8">
        <f>'[1]2019'!M3</f>
        <v>47.532623000000001</v>
      </c>
      <c r="N45" s="8">
        <f>'[1]2019'!N3</f>
        <v>24.291547999999953</v>
      </c>
      <c r="O45" s="13">
        <f t="shared" si="13"/>
        <v>309.57581800000008</v>
      </c>
      <c r="Q45" s="8">
        <v>71.103282258064525</v>
      </c>
      <c r="R45" s="8">
        <v>33.986028465608349</v>
      </c>
      <c r="S45" s="8">
        <v>27.042327168577021</v>
      </c>
      <c r="T45" s="8">
        <v>29.647687975555311</v>
      </c>
      <c r="U45" s="8">
        <v>32.275657863003438</v>
      </c>
      <c r="V45" s="8">
        <v>46.812662552806401</v>
      </c>
      <c r="W45" s="8">
        <v>63.078359366171476</v>
      </c>
      <c r="X45" s="8">
        <v>151.61792792840828</v>
      </c>
      <c r="Y45" s="8">
        <v>234.25467597557554</v>
      </c>
      <c r="Z45" s="8">
        <v>107.68453867460541</v>
      </c>
      <c r="AA45" s="8">
        <v>167.07581858945139</v>
      </c>
      <c r="AB45" s="8">
        <v>66.735622909200004</v>
      </c>
    </row>
    <row r="46" spans="2:28" ht="15" x14ac:dyDescent="0.25">
      <c r="B46" s="12">
        <v>2020</v>
      </c>
      <c r="C46" s="8">
        <f>'[1]2020'!C3</f>
        <v>24.566246999999972</v>
      </c>
      <c r="D46" s="8">
        <f>'[1]2020'!D3</f>
        <v>22.680795000000156</v>
      </c>
      <c r="E46" s="8">
        <f>'[1]2020'!E3</f>
        <v>25.492474999999857</v>
      </c>
      <c r="F46" s="8">
        <f>'[1]2020'!F3</f>
        <v>14.732552000000142</v>
      </c>
      <c r="G46" s="8">
        <f>'[1]2020'!G3</f>
        <v>13.924613000000001</v>
      </c>
      <c r="H46" s="8">
        <f>'[1]2020'!H3</f>
        <v>10.573797000000253</v>
      </c>
      <c r="I46" s="8">
        <f>'[1]2020'!I3</f>
        <v>21.065653000000001</v>
      </c>
      <c r="J46" s="8">
        <f>'[1]2020'!J3</f>
        <v>36.94277800000016</v>
      </c>
      <c r="K46" s="8">
        <f>'[1]2020'!K3</f>
        <v>37.933302999999839</v>
      </c>
      <c r="L46" s="8">
        <f>'[1]2020'!L3</f>
        <v>22.716196000000231</v>
      </c>
      <c r="M46" s="8">
        <f>'[1]2020'!M3</f>
        <v>46.793722000000066</v>
      </c>
      <c r="N46" s="8">
        <f>'[1]2020'!N3</f>
        <v>43.477064999999939</v>
      </c>
      <c r="O46" s="13">
        <f t="shared" si="13"/>
        <v>320.89919600000064</v>
      </c>
      <c r="Q46" s="8">
        <v>38.33574257133629</v>
      </c>
      <c r="R46" s="8">
        <v>30.678342911877447</v>
      </c>
      <c r="S46" s="8">
        <v>21.352688172043006</v>
      </c>
      <c r="T46" s="8">
        <v>21.049055555555551</v>
      </c>
      <c r="U46" s="8">
        <v>20.578763440860214</v>
      </c>
      <c r="V46" s="8">
        <v>56.84350000000002</v>
      </c>
      <c r="W46" s="8">
        <v>81.693978494623664</v>
      </c>
      <c r="X46" s="8">
        <v>161.20344086021507</v>
      </c>
      <c r="Y46" s="8">
        <v>148.64894555555554</v>
      </c>
      <c r="Z46" s="8">
        <v>207.94838709677421</v>
      </c>
      <c r="AA46" s="8">
        <v>154.26261111111111</v>
      </c>
      <c r="AB46" s="8">
        <v>120.95</v>
      </c>
    </row>
    <row r="47" spans="2:28" ht="15" x14ac:dyDescent="0.25">
      <c r="B47" s="12">
        <v>2021</v>
      </c>
      <c r="C47" s="8">
        <f>'[1]2021'!C3</f>
        <v>29.164321999999927</v>
      </c>
      <c r="D47" s="8">
        <f>'[1]2021'!D3</f>
        <v>26.659041999999904</v>
      </c>
      <c r="E47" s="8">
        <f>'[1]2021'!E3</f>
        <v>29.322748000000139</v>
      </c>
      <c r="F47" s="8">
        <f>'[1]2021'!F3</f>
        <v>17.608156999999888</v>
      </c>
      <c r="G47" s="8">
        <f>'[1]2021'!G3</f>
        <v>14.82469700000016</v>
      </c>
      <c r="H47" s="8">
        <f>'[1]2021'!H3</f>
        <v>11.728076999999816</v>
      </c>
      <c r="I47" s="8">
        <f>'[1]2021'!I3</f>
        <v>19.794796000000261</v>
      </c>
      <c r="J47" s="8">
        <f>'[1]2021'!J3</f>
        <v>20.40146099999966</v>
      </c>
      <c r="K47" s="8">
        <f>'[1]2021'!K3</f>
        <v>26.350116000000156</v>
      </c>
      <c r="L47" s="8">
        <f>'[1]2021'!L3</f>
        <v>44.472706000000002</v>
      </c>
      <c r="M47" s="8">
        <f>'[1]2021'!M3</f>
        <v>56.895757999999908</v>
      </c>
      <c r="N47" s="8">
        <f>'[1]2021'!N3</f>
        <v>42.598993999999948</v>
      </c>
      <c r="O47" s="13">
        <f t="shared" si="13"/>
        <v>339.82087399999978</v>
      </c>
      <c r="Q47" s="8">
        <v>58.965483870967766</v>
      </c>
      <c r="R47" s="8">
        <v>38.899464285714281</v>
      </c>
      <c r="S47" s="8">
        <v>25.662795698924729</v>
      </c>
      <c r="T47" s="8">
        <v>32.283333333333331</v>
      </c>
      <c r="U47" s="8">
        <v>39.448387096774198</v>
      </c>
      <c r="V47" s="8">
        <v>43.951500000000003</v>
      </c>
      <c r="W47" s="8">
        <v>74.111021505376357</v>
      </c>
      <c r="X47" s="8">
        <v>86.702096774193549</v>
      </c>
      <c r="Y47" s="8">
        <v>191.96166666666667</v>
      </c>
      <c r="Z47" s="8">
        <v>257.33811827956987</v>
      </c>
      <c r="AA47" s="8">
        <v>189.4975</v>
      </c>
      <c r="AB47" s="8">
        <v>132.20188172043012</v>
      </c>
    </row>
    <row r="48" spans="2:28" ht="15" x14ac:dyDescent="0.25">
      <c r="B48" s="12">
        <v>2022</v>
      </c>
      <c r="C48" s="8">
        <f>'[1]2022'!C3</f>
        <v>33.846495199999993</v>
      </c>
      <c r="D48" s="8">
        <f>'[1]2022'!D3</f>
        <v>26.111034599999996</v>
      </c>
      <c r="E48" s="8">
        <f>'[1]2022'!E3</f>
        <v>29.464168099999998</v>
      </c>
      <c r="F48" s="8">
        <f>'[1]2022'!F3</f>
        <v>23.123994499999998</v>
      </c>
      <c r="G48" s="8">
        <f>'[1]2022'!G3</f>
        <v>24.264119900000001</v>
      </c>
      <c r="H48" s="8">
        <f>'[1]2022'!H3</f>
        <v>19.669999300000001</v>
      </c>
      <c r="I48" s="8">
        <f>'[1]2022'!I3</f>
        <v>33.584182800000008</v>
      </c>
      <c r="J48" s="8">
        <f>'[1]2022'!J3</f>
        <v>33.5064724</v>
      </c>
      <c r="K48" s="8">
        <f>'[1]2022'!K3</f>
        <v>49.386004699999994</v>
      </c>
      <c r="L48" s="8">
        <f>'[1]2022'!L3</f>
        <v>50.809693500000002</v>
      </c>
      <c r="M48" s="8">
        <f>'[1]2022'!M3</f>
        <v>38.933323999999999</v>
      </c>
      <c r="N48" s="8">
        <f>'[1]2022'!N3</f>
        <v>26.922136399999999</v>
      </c>
      <c r="O48" s="13">
        <f t="shared" si="13"/>
        <v>389.62162539999997</v>
      </c>
      <c r="Q48" s="8">
        <v>63.148602150537641</v>
      </c>
      <c r="R48" s="8">
        <v>48.989226190476202</v>
      </c>
      <c r="S48" s="8">
        <v>35.236559139784951</v>
      </c>
      <c r="T48" s="8">
        <v>40.715333333333326</v>
      </c>
      <c r="U48" s="8">
        <v>81.481720430107529</v>
      </c>
      <c r="V48" s="8">
        <v>90.426888888888897</v>
      </c>
      <c r="W48" s="8">
        <v>119.99634408602152</v>
      </c>
      <c r="X48" s="8">
        <v>197.58252688172044</v>
      </c>
      <c r="Y48" s="8">
        <v>186.16005555555557</v>
      </c>
      <c r="Z48" s="8">
        <v>154.8290322580645</v>
      </c>
      <c r="AA48" s="8">
        <v>92.518555555555565</v>
      </c>
      <c r="AB48" s="8">
        <v>76.388763440860231</v>
      </c>
    </row>
    <row r="49" spans="2:28" ht="15" x14ac:dyDescent="0.25">
      <c r="B49" s="12">
        <v>2023</v>
      </c>
      <c r="C49" s="8">
        <f>'[1]2023'!C3</f>
        <v>26.196023199999999</v>
      </c>
      <c r="D49" s="8">
        <f>'[1]2023'!D3</f>
        <v>28.2093384</v>
      </c>
      <c r="E49" s="8">
        <f>'[1]2023'!E3</f>
        <v>28.871705800000001</v>
      </c>
      <c r="F49" s="8">
        <f>'[1]2023'!F3</f>
        <v>23.975395199999998</v>
      </c>
      <c r="G49" s="8">
        <f>'[1]2023'!G3</f>
        <v>7.3071524999999999</v>
      </c>
      <c r="H49" s="8">
        <f>'[1]2023'!H3</f>
        <v>18.939633699999998</v>
      </c>
      <c r="I49" s="8">
        <f>'[1]2023'!I3</f>
        <v>27.245995299999997</v>
      </c>
      <c r="J49" s="8">
        <f>'[1]2023'!J3</f>
        <v>42.153500099999995</v>
      </c>
      <c r="K49" s="8">
        <f>'[1]2023'!K3</f>
        <v>60.6046391</v>
      </c>
      <c r="L49" s="8">
        <f>'[1]2023'!L3</f>
        <v>53.143639999999998</v>
      </c>
      <c r="M49" s="8">
        <f>'[1]2023'!M3</f>
        <v>42.165509899999996</v>
      </c>
      <c r="N49" s="8">
        <f>'[1]2023'!N3</f>
        <v>31.564488900000001</v>
      </c>
      <c r="O49" s="13">
        <f t="shared" si="13"/>
        <v>390.37702210000003</v>
      </c>
      <c r="Q49" s="8">
        <v>65.299086021505389</v>
      </c>
      <c r="R49" s="8">
        <v>36.709523809523809</v>
      </c>
      <c r="S49" s="8">
        <v>22.855645161290326</v>
      </c>
      <c r="T49" s="8">
        <v>27.988111111111106</v>
      </c>
      <c r="U49" s="8">
        <v>48.204838709677418</v>
      </c>
      <c r="V49" s="8">
        <v>83.425333333333327</v>
      </c>
      <c r="W49" s="8">
        <v>171.28838709677419</v>
      </c>
      <c r="X49" s="8">
        <v>200.94758709677419</v>
      </c>
      <c r="Y49" s="8">
        <v>206.59583000000001</v>
      </c>
      <c r="Z49" s="8">
        <v>169.93816774193547</v>
      </c>
      <c r="AA49" s="8">
        <v>123.92639</v>
      </c>
      <c r="AB49" s="8">
        <v>83</v>
      </c>
    </row>
    <row r="50" spans="2:28" ht="15" x14ac:dyDescent="0.25">
      <c r="B50" s="14">
        <v>2024</v>
      </c>
      <c r="C50" s="15">
        <f>'[1]2024'!C3</f>
        <v>27.937671999999999</v>
      </c>
      <c r="D50" s="15">
        <f>'[1]2024'!D3</f>
        <v>20.617661599999998</v>
      </c>
      <c r="E50" s="15">
        <f>'[1]2024'!E3</f>
        <v>18.585530500000001</v>
      </c>
      <c r="F50" s="15">
        <f>'[1]2024'!F3</f>
        <v>17.219771600000001</v>
      </c>
      <c r="G50" s="15">
        <f>'[1]2024'!G3</f>
        <v>15.0814433</v>
      </c>
      <c r="H50" s="15">
        <f>'[1]2024'!H3</f>
        <v>23.646055400000002</v>
      </c>
      <c r="I50" s="15">
        <f>'[1]2024'!I3</f>
        <v>25.2517505</v>
      </c>
      <c r="J50" s="15">
        <f>'[1]2024'!J3</f>
        <v>41.779785799999999</v>
      </c>
      <c r="K50" s="15">
        <f>'[1]2024'!K3</f>
        <v>44.453589399999998</v>
      </c>
      <c r="L50" s="15">
        <f>'[1]2024'!L3</f>
        <v>55.450868700000001</v>
      </c>
      <c r="M50" s="15">
        <f>'[1]2024'!M3</f>
        <v>34.919919800000002</v>
      </c>
      <c r="N50" s="15">
        <f>'[1]2024'!N3</f>
        <v>19.430500599999998</v>
      </c>
      <c r="O50" s="16">
        <f t="shared" si="13"/>
        <v>344.37454920000005</v>
      </c>
      <c r="P50" s="4"/>
      <c r="Q50" s="8">
        <v>42.162625806451615</v>
      </c>
      <c r="R50" s="8">
        <v>32.270000000000003</v>
      </c>
      <c r="S50" s="8">
        <v>20.516132258064516</v>
      </c>
      <c r="T50" s="8">
        <v>23.573613333333334</v>
      </c>
      <c r="U50" s="8">
        <v>55.271509677419353</v>
      </c>
      <c r="V50" s="8">
        <v>51.7</v>
      </c>
      <c r="W50" s="8">
        <v>142.86289677419356</v>
      </c>
      <c r="X50" s="8">
        <v>140.49596774193546</v>
      </c>
      <c r="Y50" s="8">
        <v>240.57499999999999</v>
      </c>
      <c r="Z50" s="8">
        <v>137.51209354838701</v>
      </c>
      <c r="AA50" s="8">
        <v>113.17129629629629</v>
      </c>
      <c r="AB50" s="8">
        <v>112.0967806451613</v>
      </c>
    </row>
    <row r="51" spans="2:28" ht="15" x14ac:dyDescent="0.25">
      <c r="B51" s="17">
        <v>2025</v>
      </c>
      <c r="C51" s="8">
        <v>22.8188779</v>
      </c>
      <c r="D51" s="8">
        <v>21.439379299999999</v>
      </c>
      <c r="E51" s="8">
        <v>23.509354399999999</v>
      </c>
      <c r="F51" s="8">
        <v>22.266451</v>
      </c>
      <c r="G51" s="8">
        <v>26.197556799999997</v>
      </c>
      <c r="H51" s="8">
        <v>27.2371357</v>
      </c>
      <c r="I51" s="8">
        <v>36.338286599999996</v>
      </c>
      <c r="J51" s="8">
        <v>36.4025192</v>
      </c>
      <c r="K51" s="8">
        <v>46.942469599999995</v>
      </c>
      <c r="L51" s="8">
        <v>57.272962399999997</v>
      </c>
      <c r="M51" s="8">
        <v>57.510296799999999</v>
      </c>
      <c r="N51" s="8">
        <v>50.9365168</v>
      </c>
      <c r="O51" s="16">
        <f t="shared" si="13"/>
        <v>428.87180649999999</v>
      </c>
      <c r="P51" s="4"/>
      <c r="Q51" s="8">
        <v>58.057796774193548</v>
      </c>
      <c r="R51" s="8">
        <v>38.39</v>
      </c>
      <c r="S51" s="8">
        <v>31.147848387096776</v>
      </c>
      <c r="T51" s="8">
        <v>31.900006666666666</v>
      </c>
      <c r="U51" s="8">
        <v>59.98</v>
      </c>
      <c r="V51" s="8">
        <v>106.77638333333331</v>
      </c>
      <c r="W51" s="8">
        <v>110.5309129032258</v>
      </c>
      <c r="X51" s="8">
        <v>136.34811612903226</v>
      </c>
      <c r="Y51" s="8">
        <v>244.45555333333331</v>
      </c>
      <c r="Z51" s="8">
        <v>200.34005483870968</v>
      </c>
      <c r="AA51" s="8">
        <v>316.8236133333333</v>
      </c>
      <c r="AB51" s="8">
        <v>148.00941290322578</v>
      </c>
    </row>
    <row r="52" spans="2:28" ht="15" x14ac:dyDescent="0.25">
      <c r="B52" s="17">
        <v>2026</v>
      </c>
      <c r="C52" s="8">
        <v>26.021293799999999</v>
      </c>
      <c r="D52" s="8">
        <v>24.001324499999999</v>
      </c>
      <c r="E52" s="8">
        <v>27.454285800000001</v>
      </c>
      <c r="F52" s="8">
        <v>24.151494</v>
      </c>
      <c r="G52" s="8">
        <v>18.922208399999999</v>
      </c>
      <c r="H52" s="8">
        <v>18.093756799999998</v>
      </c>
      <c r="I52" s="8">
        <v>16.6788436</v>
      </c>
      <c r="J52" s="8">
        <v>21.244936899999999</v>
      </c>
      <c r="K52" s="8">
        <v>37.911999999999999</v>
      </c>
      <c r="L52" s="8"/>
      <c r="M52" s="8"/>
      <c r="N52" s="8"/>
      <c r="O52" s="18"/>
      <c r="P52" s="4"/>
      <c r="Q52">
        <v>69.900000000000006</v>
      </c>
      <c r="R52">
        <v>44.2</v>
      </c>
      <c r="S52">
        <v>40.700000000000003</v>
      </c>
      <c r="T52">
        <v>28.51</v>
      </c>
      <c r="U52">
        <v>37.090000000000003</v>
      </c>
      <c r="V52">
        <v>47.41</v>
      </c>
      <c r="W52" s="8">
        <v>57.05</v>
      </c>
      <c r="X52" s="8">
        <v>80.459999999999994</v>
      </c>
      <c r="Y52" s="8">
        <v>250.98</v>
      </c>
    </row>
    <row r="53" spans="2:28" ht="15" x14ac:dyDescent="0.25">
      <c r="B53" s="1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"/>
      <c r="P53" s="4"/>
    </row>
    <row r="54" spans="2:28" ht="15" x14ac:dyDescent="0.25"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"/>
      <c r="P54" s="4"/>
    </row>
    <row r="55" spans="2:28" ht="15" x14ac:dyDescent="0.25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4"/>
    </row>
    <row r="56" spans="2:28" ht="15" x14ac:dyDescent="0.25">
      <c r="B56" s="1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1"/>
      <c r="P56" s="4"/>
    </row>
    <row r="57" spans="2:28" ht="15" x14ac:dyDescent="0.25">
      <c r="B57" s="1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1"/>
      <c r="P57" s="4"/>
    </row>
    <row r="58" spans="2:28" ht="15" x14ac:dyDescent="0.25">
      <c r="B58" s="26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  <c r="P58" s="4"/>
    </row>
    <row r="59" spans="2:28" ht="15" x14ac:dyDescent="0.25"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21"/>
      <c r="P59" s="4"/>
    </row>
    <row r="60" spans="2:28" ht="15" x14ac:dyDescent="0.25">
      <c r="B60" s="1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1"/>
      <c r="P60" s="4"/>
    </row>
    <row r="61" spans="2:28" ht="15" x14ac:dyDescent="0.25">
      <c r="B61" s="1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21"/>
      <c r="P61" s="4"/>
    </row>
    <row r="62" spans="2:28" ht="15" x14ac:dyDescent="0.25">
      <c r="B62" s="1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3"/>
      <c r="P62" s="4"/>
    </row>
    <row r="63" spans="2:28" ht="15" x14ac:dyDescent="0.25">
      <c r="B63" s="1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3"/>
      <c r="P63" s="4"/>
    </row>
    <row r="64" spans="2:28" ht="15" x14ac:dyDescent="0.25">
      <c r="B64" s="1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3"/>
      <c r="P64" s="4"/>
    </row>
    <row r="65" spans="2:28" ht="15" x14ac:dyDescent="0.25">
      <c r="B65" s="1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3"/>
      <c r="P65" s="4"/>
    </row>
    <row r="66" spans="2:28" ht="15" x14ac:dyDescent="0.25">
      <c r="B66" s="1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3"/>
      <c r="P66" s="4"/>
    </row>
    <row r="67" spans="2:28" ht="15" x14ac:dyDescent="0.25">
      <c r="B67" s="1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3"/>
      <c r="P67" s="4"/>
    </row>
    <row r="68" spans="2:28" ht="15" x14ac:dyDescent="0.25">
      <c r="B68" s="1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23"/>
      <c r="P68" s="4"/>
    </row>
    <row r="71" spans="2:28" x14ac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4" spans="2:28" x14ac:dyDescent="0.2">
      <c r="C74" s="27"/>
      <c r="D74" s="27"/>
      <c r="E74" s="27"/>
      <c r="F74" s="27"/>
      <c r="G74" s="27"/>
      <c r="H74" s="27"/>
      <c r="I74" s="27"/>
      <c r="Q74" s="28"/>
      <c r="R74" s="27"/>
      <c r="S74" s="27"/>
      <c r="T74" s="27"/>
      <c r="U74" s="27"/>
      <c r="V74" s="27"/>
      <c r="W74" s="27"/>
    </row>
    <row r="75" spans="2:28" ht="15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81" spans="3:14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</sheetData>
  <mergeCells count="5">
    <mergeCell ref="C1:O1"/>
    <mergeCell ref="Q1:AB1"/>
    <mergeCell ref="B58:B59"/>
    <mergeCell ref="C74:I74"/>
    <mergeCell ref="Q74:W7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1D-32B7-4BC4-8D1A-A3A9F6CA015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2026-07-10T01:59:18Z</dcterms:created>
  <dcterms:modified xsi:type="dcterms:W3CDTF">2026-10-01T01:11:53Z</dcterms:modified>
</cp:coreProperties>
</file>
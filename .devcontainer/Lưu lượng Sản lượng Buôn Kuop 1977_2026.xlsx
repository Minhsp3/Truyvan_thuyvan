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Du lieu truy van chuoi dong dang\"/>
    </mc:Choice>
  </mc:AlternateContent>
  <xr:revisionPtr revIDLastSave="0" documentId="13_ncr:1_{A2AF41B2-BEBE-4766-98F1-C86C2FC9C5DC}" xr6:coauthVersionLast="47" xr6:coauthVersionMax="47" xr10:uidLastSave="{00000000-0000-0000-0000-000000000000}"/>
  <bookViews>
    <workbookView xWindow="-120" yWindow="-120" windowWidth="20730" windowHeight="11280" xr2:uid="{8DBDBBA2-5905-4D19-AB7B-94BE22CB7CF3}"/>
  </bookViews>
  <sheets>
    <sheet name="BK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1" i="2" l="1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O36" i="2" s="1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O35" i="2" s="1"/>
  <c r="N34" i="2"/>
  <c r="M34" i="2"/>
  <c r="L34" i="2"/>
  <c r="K34" i="2"/>
  <c r="J34" i="2"/>
  <c r="I34" i="2"/>
  <c r="H34" i="2"/>
  <c r="G34" i="2"/>
  <c r="F34" i="2"/>
  <c r="E34" i="2"/>
  <c r="D34" i="2"/>
  <c r="C34" i="2"/>
  <c r="O34" i="2" s="1"/>
  <c r="N33" i="2"/>
  <c r="M33" i="2"/>
  <c r="L33" i="2"/>
  <c r="K33" i="2"/>
  <c r="J33" i="2"/>
  <c r="I33" i="2"/>
  <c r="H33" i="2"/>
  <c r="G33" i="2"/>
  <c r="F33" i="2"/>
  <c r="O33" i="2" s="1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O32" i="2" s="1"/>
  <c r="N31" i="2"/>
  <c r="M31" i="2"/>
  <c r="L31" i="2"/>
  <c r="K31" i="2"/>
  <c r="J31" i="2"/>
  <c r="I31" i="2"/>
  <c r="H31" i="2"/>
  <c r="G31" i="2"/>
  <c r="F31" i="2"/>
  <c r="E31" i="2"/>
  <c r="D31" i="2"/>
  <c r="C31" i="2"/>
  <c r="O31" i="2" s="1"/>
  <c r="N30" i="2"/>
  <c r="M30" i="2"/>
  <c r="L30" i="2"/>
  <c r="K30" i="2"/>
  <c r="J30" i="2"/>
  <c r="I30" i="2"/>
  <c r="H30" i="2"/>
  <c r="G30" i="2"/>
  <c r="F30" i="2"/>
  <c r="E30" i="2"/>
  <c r="D30" i="2"/>
  <c r="O30" i="2" s="1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O29" i="2" s="1"/>
  <c r="N28" i="2"/>
  <c r="M28" i="2"/>
  <c r="L28" i="2"/>
  <c r="K28" i="2"/>
  <c r="J28" i="2"/>
  <c r="I28" i="2"/>
  <c r="H28" i="2"/>
  <c r="G28" i="2"/>
  <c r="O28" i="2" s="1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O27" i="2" s="1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O26" i="2" s="1"/>
  <c r="N25" i="2"/>
  <c r="M25" i="2"/>
  <c r="L25" i="2"/>
  <c r="K25" i="2"/>
  <c r="J25" i="2"/>
  <c r="I25" i="2"/>
  <c r="H25" i="2"/>
  <c r="G25" i="2"/>
  <c r="F25" i="2"/>
  <c r="E25" i="2"/>
  <c r="O25" i="2" s="1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O24" i="2" s="1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O22" i="2" s="1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O21" i="2" s="1"/>
  <c r="N20" i="2"/>
  <c r="M20" i="2"/>
  <c r="L20" i="2"/>
  <c r="K20" i="2"/>
  <c r="J20" i="2"/>
  <c r="I20" i="2"/>
  <c r="H20" i="2"/>
  <c r="G20" i="2"/>
  <c r="F20" i="2"/>
  <c r="O20" i="2" s="1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O19" i="2" s="1"/>
  <c r="N18" i="2"/>
  <c r="M18" i="2"/>
  <c r="L18" i="2"/>
  <c r="K18" i="2"/>
  <c r="J18" i="2"/>
  <c r="I18" i="2"/>
  <c r="H18" i="2"/>
  <c r="G18" i="2"/>
  <c r="F18" i="2"/>
  <c r="E18" i="2"/>
  <c r="D18" i="2"/>
  <c r="C18" i="2"/>
  <c r="O18" i="2" s="1"/>
  <c r="N17" i="2"/>
  <c r="M17" i="2"/>
  <c r="L17" i="2"/>
  <c r="K17" i="2"/>
  <c r="J17" i="2"/>
  <c r="I17" i="2"/>
  <c r="H17" i="2"/>
  <c r="G17" i="2"/>
  <c r="F17" i="2"/>
  <c r="O17" i="2" s="1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O16" i="2" s="1"/>
  <c r="N15" i="2"/>
  <c r="M15" i="2"/>
  <c r="L15" i="2"/>
  <c r="K15" i="2"/>
  <c r="J15" i="2"/>
  <c r="I15" i="2"/>
  <c r="H15" i="2"/>
  <c r="G15" i="2"/>
  <c r="F15" i="2"/>
  <c r="E15" i="2"/>
  <c r="D15" i="2"/>
  <c r="C15" i="2"/>
  <c r="O15" i="2" s="1"/>
  <c r="N14" i="2"/>
  <c r="M14" i="2"/>
  <c r="L14" i="2"/>
  <c r="K14" i="2"/>
  <c r="J14" i="2"/>
  <c r="I14" i="2"/>
  <c r="H14" i="2"/>
  <c r="G14" i="2"/>
  <c r="F14" i="2"/>
  <c r="E14" i="2"/>
  <c r="D14" i="2"/>
  <c r="O14" i="2" s="1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O13" i="2" s="1"/>
  <c r="N12" i="2"/>
  <c r="M12" i="2"/>
  <c r="L12" i="2"/>
  <c r="K12" i="2"/>
  <c r="J12" i="2"/>
  <c r="I12" i="2"/>
  <c r="H12" i="2"/>
  <c r="G12" i="2"/>
  <c r="O12" i="2" s="1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O11" i="2" s="1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O10" i="2" s="1"/>
  <c r="N9" i="2"/>
  <c r="M9" i="2"/>
  <c r="L9" i="2"/>
  <c r="K9" i="2"/>
  <c r="J9" i="2"/>
  <c r="I9" i="2"/>
  <c r="H9" i="2"/>
  <c r="G9" i="2"/>
  <c r="F9" i="2"/>
  <c r="E9" i="2"/>
  <c r="O9" i="2" s="1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O8" i="2" s="1"/>
  <c r="O7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O6" i="2" s="1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O5" i="2" s="1"/>
  <c r="N4" i="2"/>
  <c r="M4" i="2"/>
  <c r="L4" i="2"/>
  <c r="K4" i="2"/>
  <c r="J4" i="2"/>
  <c r="I4" i="2"/>
  <c r="H4" i="2"/>
  <c r="G4" i="2"/>
  <c r="F4" i="2"/>
  <c r="O4" i="2" s="1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O3" i="2" s="1"/>
  <c r="O41" i="2" l="1"/>
  <c r="O39" i="2"/>
  <c r="O43" i="2"/>
  <c r="O44" i="2"/>
  <c r="O47" i="2"/>
  <c r="O50" i="2"/>
  <c r="O46" i="2"/>
  <c r="O37" i="2"/>
  <c r="O45" i="2"/>
  <c r="O42" i="2"/>
  <c r="O49" i="2"/>
  <c r="O48" i="2"/>
  <c r="O40" i="2"/>
  <c r="O38" i="2"/>
</calcChain>
</file>

<file path=xl/sharedStrings.xml><?xml version="1.0" encoding="utf-8"?>
<sst xmlns="http://schemas.openxmlformats.org/spreadsheetml/2006/main" count="6" uniqueCount="6">
  <si>
    <t>Lưu lượng [m3/s]</t>
  </si>
  <si>
    <t>Tổng</t>
  </si>
  <si>
    <t>SHN</t>
  </si>
  <si>
    <t>m3/khw</t>
  </si>
  <si>
    <t>A_max</t>
  </si>
  <si>
    <t>tr.kwh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</si>
</sst>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_(* #,##0.0_);_(* \(#,##0.0\);_(* &quot;-&quot;??_);_(@_)"/>
    <numFmt numFmtId="167" formatCode="_(* #,##0.0_);_(* \(#,##0.0\);_(* &quot;-&quot;?_);_(@_)"/>
  </numFmts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000099"/>
      <name val="Arial"/>
      <family val="2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000099"/>
      <name val="Arial"/>
      <family val="2"/>
      <scheme val="minor"/>
    </font>
    <font>
      <b/>
      <sz val="12"/>
      <color rgb="FF000000"/>
      <name val="Times New Roman"/>
      <family val="1"/>
    </font>
    <font>
      <b/>
      <sz val="12"/>
      <color rgb="FF843C0C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EE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quotePrefix="1"/>
    <xf numFmtId="165" fontId="5" fillId="0" borderId="0" xfId="0" applyNumberFormat="1" applyFont="1"/>
    <xf numFmtId="166" fontId="5" fillId="0" borderId="0" xfId="1" applyNumberFormat="1" applyFont="1" applyAlignment="1">
      <alignment horizontal="right"/>
    </xf>
    <xf numFmtId="165" fontId="0" fillId="0" borderId="0" xfId="0" applyNumberFormat="1"/>
    <xf numFmtId="0" fontId="0" fillId="2" borderId="0" xfId="0" applyFill="1"/>
    <xf numFmtId="0" fontId="5" fillId="0" borderId="0" xfId="0" applyFont="1"/>
    <xf numFmtId="166" fontId="6" fillId="0" borderId="0" xfId="1" applyNumberFormat="1" applyFont="1"/>
    <xf numFmtId="166" fontId="0" fillId="0" borderId="0" xfId="1" applyNumberFormat="1" applyFont="1"/>
    <xf numFmtId="166" fontId="2" fillId="0" borderId="0" xfId="1" applyNumberFormat="1" applyFont="1"/>
    <xf numFmtId="0" fontId="7" fillId="0" borderId="0" xfId="0" applyFont="1"/>
    <xf numFmtId="165" fontId="8" fillId="0" borderId="0" xfId="0" applyNumberFormat="1" applyFont="1"/>
    <xf numFmtId="166" fontId="8" fillId="0" borderId="0" xfId="1" applyNumberFormat="1" applyFont="1"/>
    <xf numFmtId="165" fontId="2" fillId="0" borderId="0" xfId="0" applyNumberFormat="1" applyFont="1"/>
    <xf numFmtId="166" fontId="0" fillId="0" borderId="0" xfId="0" applyNumberFormat="1"/>
    <xf numFmtId="167" fontId="0" fillId="0" borderId="0" xfId="0" applyNumberFormat="1"/>
    <xf numFmtId="166" fontId="9" fillId="0" borderId="0" xfId="1" applyNumberFormat="1" applyFont="1" applyBorder="1" applyAlignment="1">
      <alignment vertical="center" wrapText="1"/>
    </xf>
    <xf numFmtId="166" fontId="10" fillId="0" borderId="0" xfId="1" applyNumberFormat="1" applyFont="1" applyBorder="1" applyAlignment="1">
      <alignment vertical="center" wrapText="1"/>
    </xf>
    <xf numFmtId="166" fontId="11" fillId="0" borderId="0" xfId="1" applyNumberFormat="1" applyFont="1" applyBorder="1" applyAlignment="1">
      <alignment vertical="center" wrapText="1"/>
    </xf>
    <xf numFmtId="166" fontId="12" fillId="0" borderId="0" xfId="1" applyNumberFormat="1" applyFont="1" applyBorder="1" applyAlignment="1">
      <alignment vertical="center" wrapText="1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Relationship Id="rId1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BTS"/>
      <sheetName val="SP3"/>
      <sheetName val="BK"/>
      <sheetName val="Gộp"/>
      <sheetName val="Sheet1"/>
      <sheetName val="Sheet2"/>
    </sheetNames>
    <sheetDataSet>
      <sheetData sheetId="0">
        <row r="3">
          <cell r="C3">
            <v>20.360220000000009</v>
          </cell>
        </row>
        <row r="4">
          <cell r="C4">
            <v>67.007400000000018</v>
          </cell>
          <cell r="D4">
            <v>33.693700000000078</v>
          </cell>
          <cell r="E4">
            <v>61.754800000000046</v>
          </cell>
          <cell r="F4">
            <v>58.139919999999996</v>
          </cell>
          <cell r="G4">
            <v>41.222000000000001</v>
          </cell>
          <cell r="H4">
            <v>134.8409</v>
          </cell>
          <cell r="I4">
            <v>138.4777</v>
          </cell>
          <cell r="J4">
            <v>165.65899999999999</v>
          </cell>
          <cell r="K4">
            <v>159.86539999999999</v>
          </cell>
          <cell r="L4">
            <v>186.99842699999999</v>
          </cell>
          <cell r="M4">
            <v>151.0607</v>
          </cell>
          <cell r="N4">
            <v>146.01929999999999</v>
          </cell>
        </row>
      </sheetData>
      <sheetData sheetId="1">
        <row r="3">
          <cell r="C3">
            <v>17.593199999999996</v>
          </cell>
        </row>
        <row r="4">
          <cell r="C4">
            <v>72.359699999999918</v>
          </cell>
          <cell r="D4">
            <v>54.996000000000002</v>
          </cell>
          <cell r="E4">
            <v>64.928100000000001</v>
          </cell>
          <cell r="F4">
            <v>85.383000000000095</v>
          </cell>
          <cell r="G4">
            <v>107.47929999999999</v>
          </cell>
          <cell r="H4">
            <v>71.381799999999842</v>
          </cell>
          <cell r="I4">
            <v>90.200800000000001</v>
          </cell>
          <cell r="J4">
            <v>89.815389999999994</v>
          </cell>
          <cell r="K4">
            <v>129.15731</v>
          </cell>
          <cell r="L4">
            <v>197.96340000000001</v>
          </cell>
          <cell r="M4">
            <v>126.4997</v>
          </cell>
          <cell r="N4">
            <v>60.75250000000004</v>
          </cell>
        </row>
      </sheetData>
      <sheetData sheetId="2">
        <row r="3">
          <cell r="C3">
            <v>14.871199999999954</v>
          </cell>
        </row>
        <row r="4">
          <cell r="C4">
            <v>40.030200000000015</v>
          </cell>
          <cell r="D4">
            <v>19.726500000000001</v>
          </cell>
          <cell r="E4">
            <v>37.599799999999988</v>
          </cell>
          <cell r="F4">
            <v>30.851000000000059</v>
          </cell>
          <cell r="G4">
            <v>48.609899999999961</v>
          </cell>
          <cell r="H4">
            <v>101.43201999999999</v>
          </cell>
          <cell r="I4">
            <v>131.56860000000009</v>
          </cell>
          <cell r="J4">
            <v>123.13280000000005</v>
          </cell>
          <cell r="K4">
            <v>101.00589999999991</v>
          </cell>
          <cell r="L4">
            <v>171.20660000000009</v>
          </cell>
          <cell r="M4">
            <v>137.92039999999992</v>
          </cell>
          <cell r="N4">
            <v>92.884300000000039</v>
          </cell>
        </row>
      </sheetData>
      <sheetData sheetId="3">
        <row r="3">
          <cell r="C3">
            <v>25.792999999999999</v>
          </cell>
        </row>
        <row r="4">
          <cell r="C4">
            <v>57.855299999999936</v>
          </cell>
          <cell r="D4">
            <v>47.695400000000021</v>
          </cell>
          <cell r="E4">
            <v>58.585300000000046</v>
          </cell>
          <cell r="F4">
            <v>35.451799999999935</v>
          </cell>
          <cell r="G4">
            <v>47.9816</v>
          </cell>
          <cell r="H4">
            <v>79.421700000000058</v>
          </cell>
          <cell r="I4">
            <v>193.58380000000005</v>
          </cell>
          <cell r="J4">
            <v>187.19009999999986</v>
          </cell>
          <cell r="K4">
            <v>151.37049999999999</v>
          </cell>
          <cell r="L4">
            <v>156.67130000000006</v>
          </cell>
          <cell r="M4">
            <v>69.214499999999759</v>
          </cell>
          <cell r="N4">
            <v>59.488500000000002</v>
          </cell>
        </row>
      </sheetData>
      <sheetData sheetId="4">
        <row r="3">
          <cell r="C3">
            <v>19.655700000000071</v>
          </cell>
        </row>
        <row r="4">
          <cell r="C4">
            <v>49.948200000000185</v>
          </cell>
          <cell r="D4">
            <v>28.301700000000185</v>
          </cell>
          <cell r="E4">
            <v>35.698799999999814</v>
          </cell>
          <cell r="F4">
            <v>35.858400000000138</v>
          </cell>
          <cell r="G4">
            <v>34.967299999999817</v>
          </cell>
          <cell r="H4">
            <v>56.235633</v>
          </cell>
          <cell r="I4">
            <v>110.37619999999995</v>
          </cell>
          <cell r="J4">
            <v>119.47640000000014</v>
          </cell>
          <cell r="K4">
            <v>95.11</v>
          </cell>
          <cell r="L4">
            <v>71.211299999999824</v>
          </cell>
          <cell r="M4">
            <v>51.643500000000003</v>
          </cell>
          <cell r="N4">
            <v>47.109500000000232</v>
          </cell>
        </row>
      </sheetData>
      <sheetData sheetId="5">
        <row r="3">
          <cell r="C3">
            <v>20.582000000000001</v>
          </cell>
        </row>
        <row r="4">
          <cell r="C4">
            <v>44.561899999999909</v>
          </cell>
          <cell r="D4">
            <v>24.298100000000094</v>
          </cell>
          <cell r="E4">
            <v>28.284299999999813</v>
          </cell>
          <cell r="F4">
            <v>27.128700000000187</v>
          </cell>
          <cell r="G4">
            <v>34.716699999999719</v>
          </cell>
          <cell r="H4">
            <v>54.870967000000284</v>
          </cell>
          <cell r="I4">
            <v>94.48197599999979</v>
          </cell>
          <cell r="J4">
            <v>101.94487800000003</v>
          </cell>
          <cell r="K4">
            <v>75.765530000000027</v>
          </cell>
          <cell r="L4">
            <v>156.29349900000005</v>
          </cell>
          <cell r="M4">
            <v>185.10087399999983</v>
          </cell>
          <cell r="N4">
            <v>195.29755300000031</v>
          </cell>
        </row>
      </sheetData>
      <sheetData sheetId="6">
        <row r="3">
          <cell r="C3">
            <v>31.364885999999821</v>
          </cell>
        </row>
        <row r="4">
          <cell r="C4">
            <v>147.31777</v>
          </cell>
          <cell r="D4">
            <v>84.774964999999852</v>
          </cell>
          <cell r="E4">
            <v>56.843450999999881</v>
          </cell>
          <cell r="F4">
            <v>71.933518000000149</v>
          </cell>
          <cell r="G4">
            <v>138.78362400000029</v>
          </cell>
          <cell r="H4">
            <v>184.92081999999942</v>
          </cell>
          <cell r="I4">
            <v>158.92538500000023</v>
          </cell>
          <cell r="J4">
            <v>166.84722599999978</v>
          </cell>
          <cell r="K4">
            <v>177.18828400000044</v>
          </cell>
          <cell r="L4">
            <v>183.54134299999942</v>
          </cell>
          <cell r="M4">
            <v>182.61075499999987</v>
          </cell>
          <cell r="N4">
            <v>189.60795600000071</v>
          </cell>
        </row>
      </sheetData>
      <sheetData sheetId="7">
        <row r="3">
          <cell r="C3">
            <v>29.766293000000065</v>
          </cell>
        </row>
        <row r="4">
          <cell r="C4">
            <v>125.761033</v>
          </cell>
          <cell r="D4">
            <v>63.206232999999536</v>
          </cell>
          <cell r="E4">
            <v>66.400333000000572</v>
          </cell>
          <cell r="F4">
            <v>59.581732999999538</v>
          </cell>
          <cell r="G4">
            <v>57.857050999999977</v>
          </cell>
          <cell r="H4">
            <v>71.134424000000777</v>
          </cell>
          <cell r="I4">
            <v>118.96295500000008</v>
          </cell>
          <cell r="J4">
            <v>141.01818399999897</v>
          </cell>
          <cell r="K4">
            <v>164.50247300000024</v>
          </cell>
          <cell r="L4">
            <v>147.82510400000001</v>
          </cell>
          <cell r="M4">
            <v>88.371788999999879</v>
          </cell>
          <cell r="N4">
            <v>114.598782</v>
          </cell>
        </row>
      </sheetData>
      <sheetData sheetId="8">
        <row r="3">
          <cell r="C3">
            <v>22.552581999999937</v>
          </cell>
        </row>
        <row r="4">
          <cell r="C4">
            <v>126.22684200000018</v>
          </cell>
          <cell r="D4">
            <v>48.35960799999954</v>
          </cell>
          <cell r="E4">
            <v>60.347191000000066</v>
          </cell>
          <cell r="F4">
            <v>47.448669000000223</v>
          </cell>
          <cell r="G4">
            <v>52.397391999999975</v>
          </cell>
          <cell r="H4">
            <v>60.510794999999924</v>
          </cell>
          <cell r="I4">
            <v>56.785311999999919</v>
          </cell>
          <cell r="J4">
            <v>151.60729500000039</v>
          </cell>
          <cell r="K4">
            <v>179.00042699999923</v>
          </cell>
          <cell r="L4">
            <v>139.15062599999999</v>
          </cell>
          <cell r="M4">
            <v>176.23853199999999</v>
          </cell>
          <cell r="N4">
            <v>85.396231000000611</v>
          </cell>
        </row>
      </sheetData>
      <sheetData sheetId="9">
        <row r="3">
          <cell r="C3">
            <v>24.566246999999972</v>
          </cell>
        </row>
        <row r="4">
          <cell r="C4">
            <v>52.160716999999245</v>
          </cell>
          <cell r="D4">
            <v>38.226069000001068</v>
          </cell>
          <cell r="E4">
            <v>44.340092999999413</v>
          </cell>
          <cell r="F4">
            <v>29.286831000001168</v>
          </cell>
          <cell r="G4">
            <v>28.976669999999999</v>
          </cell>
          <cell r="H4">
            <v>75.012167999999605</v>
          </cell>
          <cell r="I4">
            <v>99.726883000000001</v>
          </cell>
          <cell r="J4">
            <v>195.32551900000007</v>
          </cell>
          <cell r="K4">
            <v>179.58833199999947</v>
          </cell>
          <cell r="L4">
            <v>193.41799200000031</v>
          </cell>
          <cell r="M4">
            <v>189.00704200000013</v>
          </cell>
          <cell r="N4">
            <v>202.91342899999952</v>
          </cell>
        </row>
      </sheetData>
      <sheetData sheetId="10">
        <row r="3">
          <cell r="C3">
            <v>29.164321999999927</v>
          </cell>
        </row>
        <row r="4">
          <cell r="C4">
            <v>110.36860699999997</v>
          </cell>
          <cell r="D4">
            <v>61.981315000000762</v>
          </cell>
          <cell r="E4">
            <v>61.426696999999223</v>
          </cell>
          <cell r="F4">
            <v>46.831182000000027</v>
          </cell>
          <cell r="G4">
            <v>53.630072999999967</v>
          </cell>
          <cell r="H4">
            <v>49.802541000000204</v>
          </cell>
          <cell r="I4">
            <v>81.105309000000133</v>
          </cell>
          <cell r="J4">
            <v>86.7923049999997</v>
          </cell>
          <cell r="K4">
            <v>166.61844500000123</v>
          </cell>
          <cell r="L4">
            <v>192.76609399999921</v>
          </cell>
          <cell r="M4">
            <v>192.90018000000086</v>
          </cell>
          <cell r="N4">
            <v>181.47385199999974</v>
          </cell>
        </row>
      </sheetData>
      <sheetData sheetId="11">
        <row r="3">
          <cell r="C3">
            <v>33.846495199999993</v>
          </cell>
        </row>
        <row r="4">
          <cell r="C4">
            <v>122.50594479999999</v>
          </cell>
          <cell r="D4">
            <v>66.919390800000002</v>
          </cell>
          <cell r="E4">
            <v>74.536053599999988</v>
          </cell>
          <cell r="F4">
            <v>71.592840899999985</v>
          </cell>
          <cell r="G4">
            <v>110.182541</v>
          </cell>
          <cell r="H4">
            <v>115.54800859999999</v>
          </cell>
          <cell r="I4">
            <v>163.9011251</v>
          </cell>
          <cell r="J4">
            <v>194.26107150000001</v>
          </cell>
          <cell r="K4">
            <v>193.2066274</v>
          </cell>
          <cell r="L4">
            <v>196.85656800000001</v>
          </cell>
          <cell r="M4">
            <v>168.38218649999999</v>
          </cell>
          <cell r="N4">
            <v>153.6295523</v>
          </cell>
        </row>
      </sheetData>
      <sheetData sheetId="12">
        <row r="3">
          <cell r="C3">
            <v>26.196023199999999</v>
          </cell>
        </row>
        <row r="4">
          <cell r="C4">
            <v>113.1354312</v>
          </cell>
          <cell r="D4">
            <v>71.298942100000005</v>
          </cell>
          <cell r="E4">
            <v>70.493765299999993</v>
          </cell>
          <cell r="F4">
            <v>62.217610000000001</v>
          </cell>
          <cell r="G4">
            <v>43.759362299999999</v>
          </cell>
          <cell r="H4">
            <v>86.330209300000007</v>
          </cell>
          <cell r="I4">
            <v>141.6702884</v>
          </cell>
          <cell r="J4">
            <v>165.03639799999999</v>
          </cell>
          <cell r="K4">
            <v>195.23754399999999</v>
          </cell>
          <cell r="L4">
            <v>198.50973879999998</v>
          </cell>
          <cell r="M4">
            <v>163.315517</v>
          </cell>
          <cell r="N4">
            <v>125.9698503</v>
          </cell>
        </row>
      </sheetData>
      <sheetData sheetId="13">
        <row r="3">
          <cell r="C3">
            <v>27.937671999999999</v>
          </cell>
        </row>
        <row r="4">
          <cell r="C4">
            <v>73.596486099999993</v>
          </cell>
          <cell r="D4">
            <v>42.832670400000005</v>
          </cell>
          <cell r="E4">
            <v>35.955296799999999</v>
          </cell>
          <cell r="F4">
            <v>35.971539700000001</v>
          </cell>
          <cell r="G4">
            <v>54.107530500000003</v>
          </cell>
          <cell r="H4">
            <v>76.060693000000001</v>
          </cell>
          <cell r="I4">
            <v>135.68690319999999</v>
          </cell>
          <cell r="J4">
            <v>176.95260999999999</v>
          </cell>
          <cell r="K4">
            <v>179.47948259999998</v>
          </cell>
          <cell r="L4">
            <v>185.35782839999999</v>
          </cell>
          <cell r="M4">
            <v>134.72737609999999</v>
          </cell>
          <cell r="N4">
            <v>137.06628800000001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0C328C0-D6FB-438E-8F23-FDF170788131}">
  <dimension ref="A1:AF71"/>
  <sheetViews>
    <sheetView tabSelected="1" topLeftCell="H1" zoomScale="85" zoomScaleNormal="85" workbookViewId="0">
      <pane ySplit="2" topLeftCell="A44" activePane="bottomLeft" state="frozen"/>
      <selection pane="bottomLeft" activeCell="Z53" sqref="Z53"/>
    </sheetView>
  </sheetViews>
  <sheetFormatPr defaultRowHeight="14.25" ns3:dyDescent="0.2"/>
  <cols>
    <col min="3" max="3" width="9.625" bestFit="1" customWidth="1"/>
    <col min="14" max="14" width="9.25" bestFit="1" customWidth="1"/>
    <col min="15" max="15" width="9.625" bestFit="1" customWidth="1"/>
  </cols>
  <sheetData>
    <row r="1" spans="2:32" ht="15" ns3:dyDescent="0.25">
      <c r="Q1" s="22" t="s">
        <v>0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2:32" ht="15" ns3:dyDescent="0.25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2" t="s">
        <v>1</v>
      </c>
      <c r="Q2" s="1">
        <v>1</v>
      </c>
      <c r="R2" s="1">
        <v>2</v>
      </c>
      <c r="S2" s="1">
        <v>3</v>
      </c>
      <c r="T2" s="1">
        <v>4</v>
      </c>
      <c r="U2" s="1">
        <v>5</v>
      </c>
      <c r="V2" s="1">
        <v>6</v>
      </c>
      <c r="W2" s="1">
        <v>7</v>
      </c>
      <c r="X2" s="1">
        <v>8</v>
      </c>
      <c r="Y2" s="1">
        <v>9</v>
      </c>
      <c r="Z2" s="1">
        <v>10</v>
      </c>
      <c r="AA2" s="1">
        <v>11</v>
      </c>
      <c r="AB2" s="1">
        <v>12</v>
      </c>
      <c r="AD2" t="s">
        <v>2</v>
      </c>
      <c r="AE2" s="1">
        <v>3.99</v>
      </c>
      <c r="AF2" s="3" t="s">
        <v>3</v>
      </c>
    </row>
    <row r="3" spans="2:32" ns3:dyDescent="0.2">
      <c r="B3">
        <v>1977</v>
      </c>
      <c r="C3" s="4">
        <f>IF(Q3*DAY(EOMONTH(DATE($B3,$C$2,1),0))*24*3600/$AE$2/10^6&gt;$AE$3,$AE$3,Q3*DAY(EOMONTH(DATE($B3,$C$2,1),0))*24*3600/$AE$2/10^6)</f>
        <v>54.105022556390963</v>
      </c>
      <c r="D3" s="4">
        <f>IF(R3*DAY(EOMONTH(DATE($B3,$D$2,1),0))*24*3600/$AE$2/10^6&gt;$AE$3,$AE$3,R3*DAY(EOMONTH(DATE($B3,$D$2,1),0))*24*3600/$AE$2/10^6)</f>
        <v>33.893052631578946</v>
      </c>
      <c r="E3" s="4">
        <f>IF(S3*DAY(EOMONTH(DATE($B3,$E$2,1),0))*24*3600/$AE$2/10^6&gt;$AE$3,$AE$3,S3*DAY(EOMONTH(DATE($B3,$E$2,1),0))*24*3600/$AE$2/10^6)</f>
        <v>25.441443609022553</v>
      </c>
      <c r="F3" s="4">
        <f>IF(T3*DAY(EOMONTH(DATE($B3,$F$2,1),0))*24*3600/$AE$2/10^6&gt;$AE$3,$AE$3,T3*DAY(EOMONTH(DATE($B3,$F$2,1),0))*24*3600/$AE$2/10^6)</f>
        <v>16.890225563909773</v>
      </c>
      <c r="G3" s="4">
        <f>IF(U3*DAY(EOMONTH(DATE($B3,$G$2,1),0))*24*3600/$AE$2/10^6&gt;$AE$3,$AE$3,U3*DAY(EOMONTH(DATE($B3,$G$2,1),0))*24*3600/$AE$2/10^6)</f>
        <v>20.339729323308269</v>
      </c>
      <c r="H3" s="4">
        <f>IF(V3*DAY(EOMONTH(DATE($B3,$H$2,1),0))*24*3600/$AE$2/10^6&gt;$AE$3,$AE$3,V3*DAY(EOMONTH(DATE($B3,$H$2,1),0))*24*3600/$AE$2/10^6)</f>
        <v>23.51639097744361</v>
      </c>
      <c r="I3" s="4">
        <f>IF(W3*DAY(EOMONTH(DATE($B3,$I$2,1),0))*24*3600/$AE$2/10^6&gt;$AE$3,$AE$3,W3*DAY(EOMONTH(DATE($B3,$I$2,1),0))*24*3600/$AE$2/10^6)</f>
        <v>68.604631578947362</v>
      </c>
      <c r="J3" s="4">
        <f>IF(X3*DAY(EOMONTH(DATE($B3,$J$2,1),0))*24*3600/$AE$2/10^6&gt;$AE$3,$AE$3,X3*DAY(EOMONTH(DATE($B3,$J$2,1),0))*24*3600/$AE$2/10^6)</f>
        <v>69.07452631578947</v>
      </c>
      <c r="K3" s="4">
        <f>IF(Y3*DAY(EOMONTH(DATE($B3,$K$2,1),0))*24*3600/$AE$2/10^6&gt;$AE$3,$AE$3,Y3*DAY(EOMONTH(DATE($B3,$K$2,1),0))*24*3600/$AE$2/10^6)</f>
        <v>189.607956000001</v>
      </c>
      <c r="L3" s="4">
        <f>IF(Z3*DAY(EOMONTH(DATE($B3,$L$2,1),0))*24*3600/$AE$2/10^6&gt;$AE$3,$AE$3,Z3*DAY(EOMONTH(DATE($B3,$L$2,1),0))*24*3600/$AE$2/10^6)</f>
        <v>189.607956000001</v>
      </c>
      <c r="M3" s="4">
        <f>IF(AA3*DAY(EOMONTH(DATE($B3,$M$2,1),0))*24*3600/$AE$2/10^6&gt;$AE$3,$AE$3,AA3*DAY(EOMONTH(DATE($B3,$M$2,1),0))*24*3600/$AE$2/10^6)</f>
        <v>119.20601503759397</v>
      </c>
      <c r="N3" s="4">
        <f>IF(AB3*DAY(EOMONTH(DATE($B3,$N$2,1),0))*24*3600/$AE$2/10^6&gt;$AE$3,$AE$3,AB3*DAY(EOMONTH(DATE($B3,$N$2,1),0))*24*3600/$AE$2/10^6)</f>
        <v>61.287699248120298</v>
      </c>
      <c r="O3" s="5">
        <f>SUM(C3:N3)</f>
        <v>871.57464884210708</v>
      </c>
      <c r="Q3" s="6">
        <v>80.599999999999994</v>
      </c>
      <c r="R3" s="6">
        <v>55.9</v>
      </c>
      <c r="S3" s="6">
        <v>37.9</v>
      </c>
      <c r="T3" s="6">
        <v>26</v>
      </c>
      <c r="U3" s="6">
        <v>30.3</v>
      </c>
      <c r="V3" s="6">
        <v>36.200000000000003</v>
      </c>
      <c r="W3" s="6">
        <v>102.2</v>
      </c>
      <c r="X3" s="6">
        <v>102.9</v>
      </c>
      <c r="Y3" s="6">
        <v>345.3</v>
      </c>
      <c r="Z3" s="6">
        <v>320</v>
      </c>
      <c r="AA3" s="6">
        <v>183.5</v>
      </c>
      <c r="AB3" s="6">
        <v>91.3</v>
      </c>
      <c r="AD3" t="s">
        <v>4</v>
      </c>
      <c r="AE3" s="6">
        <v>189.607956000001</v>
      </c>
      <c r="AF3" s="3" t="s">
        <v>5</v>
      </c>
    </row>
    <row r="4" spans="2:32" ns3:dyDescent="0.2">
      <c r="B4">
        <v>1978</v>
      </c>
      <c r="C4" s="4">
        <f t="shared" ref="C4:C36" si="0">IF(Q4*DAY(EOMONTH(DATE($B4,$C$2,1),0))*24*3600/$AE$2/10^6&gt;$AE$3,$AE$3,Q4*DAY(EOMONTH(DATE($B4,$C$2,1),0))*24*3600/$AE$2/10^6)</f>
        <v>35.913383458646621</v>
      </c>
      <c r="D4" s="4">
        <f t="shared" ref="D4:D36" si="1">IF(R4*DAY(EOMONTH(DATE($B4,$D$2,1),0))*24*3600/$AE$2/10^6&gt;$AE$3,$AE$3,R4*DAY(EOMONTH(DATE($B4,$D$2,1),0))*24*3600/$AE$2/10^6)</f>
        <v>21.766736842105264</v>
      </c>
      <c r="E4" s="4">
        <f t="shared" ref="E4:E36" si="2">IF(S4*DAY(EOMONTH(DATE($B4,$E$2,1),0))*24*3600/$AE$2/10^6&gt;$AE$3,$AE$3,S4*DAY(EOMONTH(DATE($B4,$E$2,1),0))*24*3600/$AE$2/10^6)</f>
        <v>21.883669172932329</v>
      </c>
      <c r="F4" s="4">
        <f t="shared" ref="F4:F36" si="3">IF(T4*DAY(EOMONTH(DATE($B4,$F$2,1),0))*24*3600/$AE$2/10^6&gt;$AE$3,$AE$3,T4*DAY(EOMONTH(DATE($B4,$F$2,1),0))*24*3600/$AE$2/10^6)</f>
        <v>19.358796992481203</v>
      </c>
      <c r="G4" s="4">
        <f t="shared" ref="G4:G36" si="4">IF(U4*DAY(EOMONTH(DATE($B4,$G$2,1),0))*24*3600/$AE$2/10^6&gt;$AE$3,$AE$3,U4*DAY(EOMONTH(DATE($B4,$G$2,1),0))*24*3600/$AE$2/10^6)</f>
        <v>48.130646616541348</v>
      </c>
      <c r="H4" s="4">
        <f t="shared" ref="H4:H36" si="5">IF(V4*DAY(EOMONTH(DATE($B4,$H$2,1),0))*24*3600/$AE$2/10^6&gt;$AE$3,$AE$3,V4*DAY(EOMONTH(DATE($B4,$H$2,1),0))*24*3600/$AE$2/10^6)</f>
        <v>52.684511278195487</v>
      </c>
      <c r="I4" s="4">
        <f t="shared" ref="I4:I36" si="6">IF(W4*DAY(EOMONTH(DATE($B4,$I$2,1),0))*24*3600/$AE$2/10^6&gt;$AE$3,$AE$3,W4*DAY(EOMONTH(DATE($B4,$I$2,1),0))*24*3600/$AE$2/10^6)</f>
        <v>114.45293233082705</v>
      </c>
      <c r="J4" s="4">
        <f t="shared" ref="J4:J36" si="7">IF(X4*DAY(EOMONTH(DATE($B4,$J$2,1),0))*24*3600/$AE$2/10^6&gt;$AE$3,$AE$3,X4*DAY(EOMONTH(DATE($B4,$J$2,1),0))*24*3600/$AE$2/10^6)</f>
        <v>178.15723308270671</v>
      </c>
      <c r="K4" s="4">
        <f t="shared" ref="K4:K36" si="8">IF(Y4*DAY(EOMONTH(DATE($B4,$K$2,1),0))*24*3600/$AE$2/10^6&gt;$AE$3,$AE$3,Y4*DAY(EOMONTH(DATE($B4,$K$2,1),0))*24*3600/$AE$2/10^6)</f>
        <v>189.607956000001</v>
      </c>
      <c r="L4" s="4">
        <f t="shared" ref="L4:L36" si="9">IF(Z4*DAY(EOMONTH(DATE($B4,$L$2,1),0))*24*3600/$AE$2/10^6&gt;$AE$3,$AE$3,Z4*DAY(EOMONTH(DATE($B4,$L$2,1),0))*24*3600/$AE$2/10^6)</f>
        <v>189.607956000001</v>
      </c>
      <c r="M4" s="4">
        <f t="shared" ref="M4:M36" si="10">IF(AA4*DAY(EOMONTH(DATE($B4,$M$2,1),0))*24*3600/$AE$2/10^6&gt;$AE$3,$AE$3,AA4*DAY(EOMONTH(DATE($B4,$M$2,1),0))*24*3600/$AE$2/10^6)</f>
        <v>189.607956000001</v>
      </c>
      <c r="N4" s="4">
        <f t="shared" ref="N4:N36" si="11">IF(AB4*DAY(EOMONTH(DATE($B4,$N$2,1),0))*24*3600/$AE$2/10^6&gt;$AE$3,$AE$3,AB4*DAY(EOMONTH(DATE($B4,$N$2,1),0))*24*3600/$AE$2/10^6)</f>
        <v>112.23771428571428</v>
      </c>
      <c r="O4" s="5">
        <f t="shared" ref="O4:O36" si="12">SUM(C4:N4)</f>
        <v>1173.4094920601533</v>
      </c>
      <c r="Q4" s="6">
        <v>53.5</v>
      </c>
      <c r="R4" s="6">
        <v>35.9</v>
      </c>
      <c r="S4" s="6">
        <v>32.6</v>
      </c>
      <c r="T4" s="6">
        <v>29.8</v>
      </c>
      <c r="U4" s="6">
        <v>71.7</v>
      </c>
      <c r="V4" s="6">
        <v>81.099999999999994</v>
      </c>
      <c r="W4" s="6">
        <v>170.5</v>
      </c>
      <c r="X4" s="6">
        <v>265.39999999999998</v>
      </c>
      <c r="Y4" s="6">
        <v>405.3</v>
      </c>
      <c r="Z4" s="6">
        <v>505.7</v>
      </c>
      <c r="AA4" s="6">
        <v>366</v>
      </c>
      <c r="AB4" s="6">
        <v>167.2</v>
      </c>
    </row>
    <row r="5" spans="2:32" ns3:dyDescent="0.2">
      <c r="B5">
        <v>1979</v>
      </c>
      <c r="C5" s="4">
        <f t="shared" si="0"/>
        <v>63.90568421052631</v>
      </c>
      <c r="D5" s="4">
        <f t="shared" si="1"/>
        <v>32.922947368421049</v>
      </c>
      <c r="E5" s="4">
        <f t="shared" si="2"/>
        <v>23.159097744360903</v>
      </c>
      <c r="F5" s="4">
        <f t="shared" si="3"/>
        <v>23.256541353383458</v>
      </c>
      <c r="G5" s="4">
        <f t="shared" si="4"/>
        <v>42.424781954887216</v>
      </c>
      <c r="H5" s="4">
        <f t="shared" si="5"/>
        <v>95.559699248120296</v>
      </c>
      <c r="I5" s="4">
        <f t="shared" si="6"/>
        <v>189.607956000001</v>
      </c>
      <c r="J5" s="4">
        <f t="shared" si="7"/>
        <v>189.607956000001</v>
      </c>
      <c r="K5" s="4">
        <f t="shared" si="8"/>
        <v>145.64571428571426</v>
      </c>
      <c r="L5" s="4">
        <f t="shared" si="9"/>
        <v>189.607956000001</v>
      </c>
      <c r="M5" s="4">
        <f t="shared" si="10"/>
        <v>189.607956000001</v>
      </c>
      <c r="N5" s="4">
        <f t="shared" si="11"/>
        <v>161.37527819548873</v>
      </c>
      <c r="O5" s="5">
        <f t="shared" si="12"/>
        <v>1346.6815683609061</v>
      </c>
      <c r="Q5" s="6">
        <v>95.2</v>
      </c>
      <c r="R5" s="6">
        <v>54.3</v>
      </c>
      <c r="S5" s="6">
        <v>34.5</v>
      </c>
      <c r="T5" s="6">
        <v>35.799999999999997</v>
      </c>
      <c r="U5" s="6">
        <v>63.2</v>
      </c>
      <c r="V5" s="6">
        <v>147.1</v>
      </c>
      <c r="W5" s="6">
        <v>296.8</v>
      </c>
      <c r="X5" s="6">
        <v>348.4</v>
      </c>
      <c r="Y5" s="6">
        <v>224.2</v>
      </c>
      <c r="Z5" s="6">
        <v>412.7</v>
      </c>
      <c r="AA5" s="6">
        <v>319.8</v>
      </c>
      <c r="AB5" s="6">
        <v>240.4</v>
      </c>
    </row>
    <row r="6" spans="2:32" ns3:dyDescent="0.2">
      <c r="B6">
        <v>1980</v>
      </c>
      <c r="C6" s="4">
        <f t="shared" si="0"/>
        <v>78.002526315789481</v>
      </c>
      <c r="D6" s="4">
        <f t="shared" si="1"/>
        <v>51.556330827067661</v>
      </c>
      <c r="E6" s="4">
        <f t="shared" si="2"/>
        <v>40.075308270676686</v>
      </c>
      <c r="F6" s="4">
        <f t="shared" si="3"/>
        <v>36.963609022556383</v>
      </c>
      <c r="G6" s="4">
        <f t="shared" si="4"/>
        <v>67.731969924812034</v>
      </c>
      <c r="H6" s="4">
        <f t="shared" si="5"/>
        <v>108.29233082706766</v>
      </c>
      <c r="I6" s="4">
        <f t="shared" si="6"/>
        <v>125.6632781954887</v>
      </c>
      <c r="J6" s="4">
        <f t="shared" si="7"/>
        <v>142.84800000000001</v>
      </c>
      <c r="K6" s="4">
        <f t="shared" si="8"/>
        <v>189.607956000001</v>
      </c>
      <c r="L6" s="4">
        <f t="shared" si="9"/>
        <v>189.607956000001</v>
      </c>
      <c r="M6" s="4">
        <f t="shared" si="10"/>
        <v>189.607956000001</v>
      </c>
      <c r="N6" s="4">
        <f t="shared" si="11"/>
        <v>161.1738947368421</v>
      </c>
      <c r="O6" s="5">
        <f t="shared" si="12"/>
        <v>1381.1311161203037</v>
      </c>
      <c r="Q6" s="6">
        <v>116.2</v>
      </c>
      <c r="R6" s="6">
        <v>82.1</v>
      </c>
      <c r="S6" s="6">
        <v>59.7</v>
      </c>
      <c r="T6" s="6">
        <v>56.9</v>
      </c>
      <c r="U6" s="6">
        <v>100.9</v>
      </c>
      <c r="V6" s="6">
        <v>166.7</v>
      </c>
      <c r="W6" s="6">
        <v>187.2</v>
      </c>
      <c r="X6" s="6">
        <v>212.8</v>
      </c>
      <c r="Y6" s="6">
        <v>497.1</v>
      </c>
      <c r="Z6" s="6">
        <v>484.8</v>
      </c>
      <c r="AA6" s="6">
        <v>530.5</v>
      </c>
      <c r="AB6" s="6">
        <v>240.1</v>
      </c>
    </row>
    <row r="7" spans="2:32" ns3:dyDescent="0.2">
      <c r="B7">
        <v>1981</v>
      </c>
      <c r="C7" s="4">
        <f t="shared" si="0"/>
        <v>84.044030075187962</v>
      </c>
      <c r="D7" s="4">
        <f t="shared" si="1"/>
        <v>54.325894736842102</v>
      </c>
      <c r="E7" s="4">
        <f t="shared" si="2"/>
        <v>38.262857142857143</v>
      </c>
      <c r="F7" s="4">
        <f t="shared" si="3"/>
        <v>35.729323308270679</v>
      </c>
      <c r="G7" s="4">
        <f t="shared" si="4"/>
        <v>58.26694736842105</v>
      </c>
      <c r="H7" s="4">
        <f t="shared" si="5"/>
        <v>139.14947368421051</v>
      </c>
      <c r="I7" s="4">
        <f t="shared" si="6"/>
        <v>119.48751879699248</v>
      </c>
      <c r="J7" s="4">
        <f t="shared" si="7"/>
        <v>189.607956000001</v>
      </c>
      <c r="K7" s="4">
        <f t="shared" si="8"/>
        <v>182.99909774436088</v>
      </c>
      <c r="L7" s="4">
        <f t="shared" si="9"/>
        <v>189.607956000001</v>
      </c>
      <c r="M7" s="4">
        <f t="shared" si="10"/>
        <v>189.607956000001</v>
      </c>
      <c r="N7" s="4">
        <f t="shared" si="11"/>
        <v>189.607956000001</v>
      </c>
      <c r="O7" s="5">
        <f t="shared" si="12"/>
        <v>1470.6969668571467</v>
      </c>
      <c r="Q7" s="6">
        <v>125.2</v>
      </c>
      <c r="R7" s="6">
        <v>89.6</v>
      </c>
      <c r="S7" s="6">
        <v>57</v>
      </c>
      <c r="T7" s="6">
        <v>55</v>
      </c>
      <c r="U7" s="6">
        <v>86.8</v>
      </c>
      <c r="V7" s="6">
        <v>214.2</v>
      </c>
      <c r="W7" s="6">
        <v>178</v>
      </c>
      <c r="X7" s="6">
        <v>442</v>
      </c>
      <c r="Y7" s="6">
        <v>281.7</v>
      </c>
      <c r="Z7" s="6">
        <v>675.8</v>
      </c>
      <c r="AA7" s="6">
        <v>784.9</v>
      </c>
      <c r="AB7" s="6">
        <v>441.4</v>
      </c>
    </row>
    <row r="8" spans="2:32" ns3:dyDescent="0.2">
      <c r="B8">
        <v>1982</v>
      </c>
      <c r="C8" s="4">
        <f t="shared" si="0"/>
        <v>119.15187969924813</v>
      </c>
      <c r="D8" s="4">
        <f t="shared" si="1"/>
        <v>58.570105263157892</v>
      </c>
      <c r="E8" s="4">
        <f t="shared" si="2"/>
        <v>44.572872180451135</v>
      </c>
      <c r="F8" s="4">
        <f t="shared" si="3"/>
        <v>45.018947368421045</v>
      </c>
      <c r="G8" s="4">
        <f t="shared" si="4"/>
        <v>50.748631578947361</v>
      </c>
      <c r="H8" s="4">
        <f t="shared" si="5"/>
        <v>115.95789473684209</v>
      </c>
      <c r="I8" s="4">
        <f t="shared" si="6"/>
        <v>131.90616541353381</v>
      </c>
      <c r="J8" s="4">
        <f t="shared" si="7"/>
        <v>110.96228571428571</v>
      </c>
      <c r="K8" s="4">
        <f t="shared" si="8"/>
        <v>189.607956000001</v>
      </c>
      <c r="L8" s="4">
        <f t="shared" si="9"/>
        <v>181.04372932330827</v>
      </c>
      <c r="M8" s="4">
        <f t="shared" si="10"/>
        <v>104.52451127819549</v>
      </c>
      <c r="N8" s="4">
        <f t="shared" si="11"/>
        <v>63.368661654135337</v>
      </c>
      <c r="O8" s="5">
        <f t="shared" si="12"/>
        <v>1215.4336402105271</v>
      </c>
      <c r="Q8" s="6">
        <v>177.5</v>
      </c>
      <c r="R8" s="6">
        <v>96.6</v>
      </c>
      <c r="S8" s="6">
        <v>66.400000000000006</v>
      </c>
      <c r="T8" s="6">
        <v>69.3</v>
      </c>
      <c r="U8" s="6">
        <v>75.599999999999994</v>
      </c>
      <c r="V8" s="6">
        <v>178.5</v>
      </c>
      <c r="W8" s="6">
        <v>196.5</v>
      </c>
      <c r="X8" s="6">
        <v>165.3</v>
      </c>
      <c r="Y8" s="6">
        <v>488.1</v>
      </c>
      <c r="Z8" s="6">
        <v>269.7</v>
      </c>
      <c r="AA8" s="6">
        <v>160.9</v>
      </c>
      <c r="AB8" s="6">
        <v>94.4</v>
      </c>
    </row>
    <row r="9" spans="2:32" ns3:dyDescent="0.2">
      <c r="B9">
        <v>1983</v>
      </c>
      <c r="C9" s="4">
        <f t="shared" si="0"/>
        <v>48.466285714285711</v>
      </c>
      <c r="D9" s="4">
        <f t="shared" si="1"/>
        <v>32.437894736842104</v>
      </c>
      <c r="E9" s="4">
        <f t="shared" si="2"/>
        <v>27.790917293233083</v>
      </c>
      <c r="F9" s="4">
        <f t="shared" si="3"/>
        <v>21.697443609022553</v>
      </c>
      <c r="G9" s="4">
        <f t="shared" si="4"/>
        <v>33.698165413533829</v>
      </c>
      <c r="H9" s="4">
        <f t="shared" si="5"/>
        <v>51.775037593984962</v>
      </c>
      <c r="I9" s="4">
        <f t="shared" si="6"/>
        <v>59.34099248120301</v>
      </c>
      <c r="J9" s="4">
        <f t="shared" si="7"/>
        <v>128.07987969924812</v>
      </c>
      <c r="K9" s="4">
        <f t="shared" si="8"/>
        <v>131.41894736842104</v>
      </c>
      <c r="L9" s="4">
        <f t="shared" si="9"/>
        <v>189.607956000001</v>
      </c>
      <c r="M9" s="4">
        <f t="shared" si="10"/>
        <v>189.607956000001</v>
      </c>
      <c r="N9" s="4">
        <f t="shared" si="11"/>
        <v>98.812150375939837</v>
      </c>
      <c r="O9" s="5">
        <f t="shared" si="12"/>
        <v>1012.7336262857161</v>
      </c>
      <c r="Q9" s="6">
        <v>72.2</v>
      </c>
      <c r="R9" s="6">
        <v>53.5</v>
      </c>
      <c r="S9" s="6">
        <v>41.4</v>
      </c>
      <c r="T9" s="6">
        <v>33.4</v>
      </c>
      <c r="U9" s="6">
        <v>50.2</v>
      </c>
      <c r="V9" s="6">
        <v>79.7</v>
      </c>
      <c r="W9" s="6">
        <v>88.4</v>
      </c>
      <c r="X9" s="6">
        <v>190.8</v>
      </c>
      <c r="Y9" s="6">
        <v>202.3</v>
      </c>
      <c r="Z9" s="6">
        <v>515</v>
      </c>
      <c r="AA9" s="6">
        <v>348.2</v>
      </c>
      <c r="AB9" s="6">
        <v>147.19999999999999</v>
      </c>
    </row>
    <row r="10" spans="2:32" ns3:dyDescent="0.2">
      <c r="B10">
        <v>1984</v>
      </c>
      <c r="C10" s="4">
        <f t="shared" si="0"/>
        <v>68.201864661654128</v>
      </c>
      <c r="D10" s="4">
        <f t="shared" si="1"/>
        <v>47.411729323308265</v>
      </c>
      <c r="E10" s="4">
        <f t="shared" si="2"/>
        <v>34.369443609022561</v>
      </c>
      <c r="F10" s="4">
        <f t="shared" si="3"/>
        <v>37.613233082706763</v>
      </c>
      <c r="G10" s="4">
        <f t="shared" si="4"/>
        <v>70.215699248120288</v>
      </c>
      <c r="H10" s="4">
        <f t="shared" si="5"/>
        <v>107.05804511278194</v>
      </c>
      <c r="I10" s="4">
        <f t="shared" si="6"/>
        <v>127.81136842105262</v>
      </c>
      <c r="J10" s="4">
        <f t="shared" si="7"/>
        <v>189.607956000001</v>
      </c>
      <c r="K10" s="4">
        <f t="shared" si="8"/>
        <v>189.607956000001</v>
      </c>
      <c r="L10" s="4">
        <f t="shared" si="9"/>
        <v>189.607956000001</v>
      </c>
      <c r="M10" s="4">
        <f t="shared" si="10"/>
        <v>177.60721804511275</v>
      </c>
      <c r="N10" s="4">
        <f t="shared" si="11"/>
        <v>154.66249624060151</v>
      </c>
      <c r="O10" s="5">
        <f t="shared" si="12"/>
        <v>1393.774965744364</v>
      </c>
      <c r="Q10" s="6">
        <v>101.6</v>
      </c>
      <c r="R10" s="6">
        <v>75.5</v>
      </c>
      <c r="S10" s="6">
        <v>51.2</v>
      </c>
      <c r="T10" s="6">
        <v>57.9</v>
      </c>
      <c r="U10" s="6">
        <v>104.6</v>
      </c>
      <c r="V10" s="6">
        <v>164.8</v>
      </c>
      <c r="W10" s="6">
        <v>190.4</v>
      </c>
      <c r="X10" s="6">
        <v>416.5</v>
      </c>
      <c r="Y10" s="6">
        <v>441.9</v>
      </c>
      <c r="Z10" s="6">
        <v>526.4</v>
      </c>
      <c r="AA10" s="6">
        <v>273.39999999999998</v>
      </c>
      <c r="AB10" s="6">
        <v>230.4</v>
      </c>
    </row>
    <row r="11" spans="2:32" ns3:dyDescent="0.2">
      <c r="B11">
        <v>1985</v>
      </c>
      <c r="C11" s="4">
        <f t="shared" si="0"/>
        <v>76.190075187969924</v>
      </c>
      <c r="D11" s="4">
        <f t="shared" si="1"/>
        <v>47.050105263157889</v>
      </c>
      <c r="E11" s="4">
        <f t="shared" si="2"/>
        <v>40.008180451127821</v>
      </c>
      <c r="F11" s="4">
        <f t="shared" si="3"/>
        <v>49.631278195488719</v>
      </c>
      <c r="G11" s="4">
        <f t="shared" si="4"/>
        <v>77.062736842105252</v>
      </c>
      <c r="H11" s="4">
        <f t="shared" si="5"/>
        <v>86.91969924812031</v>
      </c>
      <c r="I11" s="4">
        <f t="shared" si="6"/>
        <v>125.39476691729324</v>
      </c>
      <c r="J11" s="4">
        <f t="shared" si="7"/>
        <v>133.24872180451126</v>
      </c>
      <c r="K11" s="4">
        <f t="shared" si="8"/>
        <v>184.62315789473683</v>
      </c>
      <c r="L11" s="4">
        <f t="shared" si="9"/>
        <v>189.607956000001</v>
      </c>
      <c r="M11" s="4">
        <f t="shared" si="10"/>
        <v>117.19218045112781</v>
      </c>
      <c r="N11" s="4">
        <f t="shared" si="11"/>
        <v>161.24102255639096</v>
      </c>
      <c r="O11" s="5">
        <f t="shared" si="12"/>
        <v>1288.1698808120311</v>
      </c>
      <c r="Q11" s="6">
        <v>113.5</v>
      </c>
      <c r="R11" s="6">
        <v>77.599999999999994</v>
      </c>
      <c r="S11" s="6">
        <v>59.6</v>
      </c>
      <c r="T11" s="6">
        <v>76.400000000000006</v>
      </c>
      <c r="U11" s="6">
        <v>114.8</v>
      </c>
      <c r="V11" s="6">
        <v>133.80000000000001</v>
      </c>
      <c r="W11" s="6">
        <v>186.8</v>
      </c>
      <c r="X11" s="6">
        <v>198.5</v>
      </c>
      <c r="Y11" s="6">
        <v>284.2</v>
      </c>
      <c r="Z11" s="6">
        <v>315.89999999999998</v>
      </c>
      <c r="AA11" s="6">
        <v>180.4</v>
      </c>
      <c r="AB11" s="6">
        <v>240.2</v>
      </c>
    </row>
    <row r="12" spans="2:32" ns3:dyDescent="0.2">
      <c r="B12">
        <v>1986</v>
      </c>
      <c r="C12" s="4">
        <f t="shared" si="0"/>
        <v>68.80601503759398</v>
      </c>
      <c r="D12" s="4">
        <f t="shared" si="1"/>
        <v>43.836631578947362</v>
      </c>
      <c r="E12" s="4">
        <f t="shared" si="2"/>
        <v>38.934135338345861</v>
      </c>
      <c r="F12" s="4">
        <f t="shared" si="3"/>
        <v>31.961503759398493</v>
      </c>
      <c r="G12" s="4">
        <f t="shared" si="4"/>
        <v>42.760421052631578</v>
      </c>
      <c r="H12" s="4">
        <f t="shared" si="5"/>
        <v>51.51518796992481</v>
      </c>
      <c r="I12" s="4">
        <f t="shared" si="6"/>
        <v>90.421172932330805</v>
      </c>
      <c r="J12" s="4">
        <f t="shared" si="7"/>
        <v>189.607956000001</v>
      </c>
      <c r="K12" s="4">
        <f t="shared" si="8"/>
        <v>189.607956000001</v>
      </c>
      <c r="L12" s="4">
        <f t="shared" si="9"/>
        <v>189.607956000001</v>
      </c>
      <c r="M12" s="4">
        <f t="shared" si="10"/>
        <v>130.96421052631578</v>
      </c>
      <c r="N12" s="4">
        <f t="shared" si="11"/>
        <v>189.607956000001</v>
      </c>
      <c r="O12" s="5">
        <f t="shared" si="12"/>
        <v>1257.6311021954925</v>
      </c>
      <c r="Q12" s="6">
        <v>102.5</v>
      </c>
      <c r="R12" s="6">
        <v>72.3</v>
      </c>
      <c r="S12" s="6">
        <v>58</v>
      </c>
      <c r="T12" s="6">
        <v>49.2</v>
      </c>
      <c r="U12" s="6">
        <v>63.7</v>
      </c>
      <c r="V12" s="6">
        <v>79.3</v>
      </c>
      <c r="W12" s="6">
        <v>134.69999999999999</v>
      </c>
      <c r="X12" s="6">
        <v>372.1</v>
      </c>
      <c r="Y12" s="6">
        <v>322.10000000000002</v>
      </c>
      <c r="Z12" s="6">
        <v>338.1</v>
      </c>
      <c r="AA12" s="6">
        <v>201.6</v>
      </c>
      <c r="AB12" s="6">
        <v>313.10000000000002</v>
      </c>
    </row>
    <row r="13" spans="2:32" ns3:dyDescent="0.2">
      <c r="B13">
        <v>1987</v>
      </c>
      <c r="C13" s="4">
        <f t="shared" si="0"/>
        <v>81.895939849624057</v>
      </c>
      <c r="D13" s="4">
        <f t="shared" si="1"/>
        <v>46.989473684210523</v>
      </c>
      <c r="E13" s="4">
        <f t="shared" si="2"/>
        <v>41.149353383458646</v>
      </c>
      <c r="F13" s="4">
        <f t="shared" si="3"/>
        <v>30.207518796992481</v>
      </c>
      <c r="G13" s="4">
        <f t="shared" si="4"/>
        <v>37.054556390977446</v>
      </c>
      <c r="H13" s="4">
        <f t="shared" si="5"/>
        <v>79.254135338345861</v>
      </c>
      <c r="I13" s="4">
        <f t="shared" si="6"/>
        <v>145.19747368421051</v>
      </c>
      <c r="J13" s="4">
        <f t="shared" si="7"/>
        <v>134.45702255639097</v>
      </c>
      <c r="K13" s="4">
        <f t="shared" si="8"/>
        <v>189.607956000001</v>
      </c>
      <c r="L13" s="4">
        <f t="shared" si="9"/>
        <v>179.36553383458647</v>
      </c>
      <c r="M13" s="4">
        <f t="shared" si="10"/>
        <v>141.29323308270676</v>
      </c>
      <c r="N13" s="4">
        <f t="shared" si="11"/>
        <v>131.63765413533832</v>
      </c>
      <c r="O13" s="5">
        <f t="shared" si="12"/>
        <v>1238.1098507368431</v>
      </c>
      <c r="Q13" s="6">
        <v>122</v>
      </c>
      <c r="R13" s="6">
        <v>77.5</v>
      </c>
      <c r="S13" s="6">
        <v>61.3</v>
      </c>
      <c r="T13" s="6">
        <v>46.5</v>
      </c>
      <c r="U13" s="6">
        <v>55.2</v>
      </c>
      <c r="V13" s="6">
        <v>122</v>
      </c>
      <c r="W13" s="6">
        <v>216.3</v>
      </c>
      <c r="X13" s="6">
        <v>200.3</v>
      </c>
      <c r="Y13" s="6">
        <v>371.8</v>
      </c>
      <c r="Z13" s="6">
        <v>267.2</v>
      </c>
      <c r="AA13" s="6">
        <v>217.5</v>
      </c>
      <c r="AB13" s="6">
        <v>196.1</v>
      </c>
    </row>
    <row r="14" spans="2:32" ns3:dyDescent="0.2">
      <c r="B14">
        <v>1988</v>
      </c>
      <c r="C14" s="4">
        <f t="shared" si="0"/>
        <v>70.081443609022557</v>
      </c>
      <c r="D14" s="4">
        <f t="shared" si="1"/>
        <v>43.769503759398503</v>
      </c>
      <c r="E14" s="4">
        <f t="shared" si="2"/>
        <v>33.295398496240601</v>
      </c>
      <c r="F14" s="4">
        <f t="shared" si="3"/>
        <v>31.896541353383455</v>
      </c>
      <c r="G14" s="4">
        <f t="shared" si="4"/>
        <v>58.73684210526315</v>
      </c>
      <c r="H14" s="4">
        <f t="shared" si="5"/>
        <v>85.750375939849619</v>
      </c>
      <c r="I14" s="4">
        <f t="shared" si="6"/>
        <v>103.24258646616542</v>
      </c>
      <c r="J14" s="4">
        <f t="shared" si="7"/>
        <v>123.51518796992481</v>
      </c>
      <c r="K14" s="4">
        <f t="shared" si="8"/>
        <v>185.66255639097744</v>
      </c>
      <c r="L14" s="4">
        <f t="shared" si="9"/>
        <v>189.607956000001</v>
      </c>
      <c r="M14" s="4">
        <f t="shared" si="10"/>
        <v>189.607956000001</v>
      </c>
      <c r="N14" s="4">
        <f t="shared" si="11"/>
        <v>145.66736842105263</v>
      </c>
      <c r="O14" s="5">
        <f t="shared" si="12"/>
        <v>1260.8337165112803</v>
      </c>
      <c r="Q14" s="6">
        <v>104.4</v>
      </c>
      <c r="R14" s="6">
        <v>69.7</v>
      </c>
      <c r="S14" s="6">
        <v>49.6</v>
      </c>
      <c r="T14" s="6">
        <v>49.1</v>
      </c>
      <c r="U14" s="6">
        <v>87.5</v>
      </c>
      <c r="V14" s="6">
        <v>132</v>
      </c>
      <c r="W14" s="6">
        <v>153.80000000000001</v>
      </c>
      <c r="X14" s="6">
        <v>184</v>
      </c>
      <c r="Y14" s="6">
        <v>285.8</v>
      </c>
      <c r="Z14" s="6">
        <v>542.9</v>
      </c>
      <c r="AA14" s="6">
        <v>514.20000000000005</v>
      </c>
      <c r="AB14" s="6">
        <v>217</v>
      </c>
    </row>
    <row r="15" spans="2:32" ns3:dyDescent="0.2">
      <c r="B15">
        <v>1989</v>
      </c>
      <c r="C15" s="4">
        <f t="shared" si="0"/>
        <v>87.668932330827062</v>
      </c>
      <c r="D15" s="4">
        <f t="shared" si="1"/>
        <v>47.231999999999999</v>
      </c>
      <c r="E15" s="4">
        <f t="shared" si="2"/>
        <v>47.660751879699248</v>
      </c>
      <c r="F15" s="4">
        <f t="shared" si="3"/>
        <v>48.267067669172931</v>
      </c>
      <c r="G15" s="4">
        <f t="shared" si="4"/>
        <v>102.97407518796992</v>
      </c>
      <c r="H15" s="4">
        <f t="shared" si="5"/>
        <v>158.44330827067668</v>
      </c>
      <c r="I15" s="4">
        <f t="shared" si="6"/>
        <v>188.49491729323307</v>
      </c>
      <c r="J15" s="4">
        <f t="shared" si="7"/>
        <v>189.607956000001</v>
      </c>
      <c r="K15" s="4">
        <f t="shared" si="8"/>
        <v>189.607956000001</v>
      </c>
      <c r="L15" s="4">
        <f t="shared" si="9"/>
        <v>189.607956000001</v>
      </c>
      <c r="M15" s="4">
        <f t="shared" si="10"/>
        <v>158.3133834586466</v>
      </c>
      <c r="N15" s="4">
        <f t="shared" si="11"/>
        <v>93.643308270676684</v>
      </c>
      <c r="O15" s="5">
        <f t="shared" si="12"/>
        <v>1501.521612360905</v>
      </c>
      <c r="Q15" s="6">
        <v>130.6</v>
      </c>
      <c r="R15" s="6">
        <v>77.900000000000006</v>
      </c>
      <c r="S15" s="6">
        <v>71</v>
      </c>
      <c r="T15" s="6">
        <v>74.3</v>
      </c>
      <c r="U15" s="6">
        <v>153.4</v>
      </c>
      <c r="V15" s="6">
        <v>243.9</v>
      </c>
      <c r="W15" s="6">
        <v>280.8</v>
      </c>
      <c r="X15" s="6">
        <v>377.7</v>
      </c>
      <c r="Y15" s="6">
        <v>478.9</v>
      </c>
      <c r="Z15" s="6">
        <v>434.1</v>
      </c>
      <c r="AA15" s="6">
        <v>243.7</v>
      </c>
      <c r="AB15" s="6">
        <v>139.5</v>
      </c>
    </row>
    <row r="16" spans="2:32" ns3:dyDescent="0.2">
      <c r="B16">
        <v>1990</v>
      </c>
      <c r="C16" s="4">
        <f t="shared" si="0"/>
        <v>50.345864661654133</v>
      </c>
      <c r="D16" s="4">
        <f t="shared" si="1"/>
        <v>29.527578947368422</v>
      </c>
      <c r="E16" s="4">
        <f t="shared" si="2"/>
        <v>25.441443609022553</v>
      </c>
      <c r="F16" s="4">
        <f t="shared" si="3"/>
        <v>27.868872180451124</v>
      </c>
      <c r="G16" s="4">
        <f t="shared" si="4"/>
        <v>39.471157894736841</v>
      </c>
      <c r="H16" s="4">
        <f t="shared" si="5"/>
        <v>189.607956000001</v>
      </c>
      <c r="I16" s="4">
        <f t="shared" si="6"/>
        <v>170.90742857142857</v>
      </c>
      <c r="J16" s="4">
        <f t="shared" si="7"/>
        <v>189.607956000001</v>
      </c>
      <c r="K16" s="4">
        <f t="shared" si="8"/>
        <v>189.607956000001</v>
      </c>
      <c r="L16" s="4">
        <f t="shared" si="9"/>
        <v>189.607956000001</v>
      </c>
      <c r="M16" s="4">
        <f t="shared" si="10"/>
        <v>189.607956000001</v>
      </c>
      <c r="N16" s="4">
        <f t="shared" si="11"/>
        <v>179.23127819548873</v>
      </c>
      <c r="O16" s="5">
        <f t="shared" si="12"/>
        <v>1470.8334040601553</v>
      </c>
      <c r="Q16" s="6">
        <v>75</v>
      </c>
      <c r="R16" s="6">
        <v>48.7</v>
      </c>
      <c r="S16" s="6">
        <v>37.9</v>
      </c>
      <c r="T16" s="6">
        <v>42.9</v>
      </c>
      <c r="U16" s="6">
        <v>58.8</v>
      </c>
      <c r="V16" s="6">
        <v>313.89999999999998</v>
      </c>
      <c r="W16" s="6">
        <v>254.6</v>
      </c>
      <c r="X16" s="6">
        <v>376.7</v>
      </c>
      <c r="Y16" s="6">
        <v>519.70000000000005</v>
      </c>
      <c r="Z16" s="6">
        <v>373.7</v>
      </c>
      <c r="AA16" s="6">
        <v>526.4</v>
      </c>
      <c r="AB16" s="6">
        <v>267</v>
      </c>
    </row>
    <row r="17" spans="2:28" ns3:dyDescent="0.2">
      <c r="B17">
        <v>1991</v>
      </c>
      <c r="C17" s="4">
        <f t="shared" si="0"/>
        <v>86.594887218045116</v>
      </c>
      <c r="D17" s="4">
        <f t="shared" si="1"/>
        <v>51.354947368421044</v>
      </c>
      <c r="E17" s="4">
        <f t="shared" si="2"/>
        <v>44.035849624060141</v>
      </c>
      <c r="F17" s="4">
        <f t="shared" si="3"/>
        <v>37.288421052631577</v>
      </c>
      <c r="G17" s="4">
        <f t="shared" si="4"/>
        <v>48.399157894736831</v>
      </c>
      <c r="H17" s="4">
        <f t="shared" si="5"/>
        <v>58.726015037593982</v>
      </c>
      <c r="I17" s="4">
        <f t="shared" si="6"/>
        <v>85.386586466165411</v>
      </c>
      <c r="J17" s="4">
        <f t="shared" si="7"/>
        <v>126.93870676691729</v>
      </c>
      <c r="K17" s="4">
        <f t="shared" si="8"/>
        <v>189.607956000001</v>
      </c>
      <c r="L17" s="4">
        <f t="shared" si="9"/>
        <v>189.607956000001</v>
      </c>
      <c r="M17" s="4">
        <f t="shared" si="10"/>
        <v>104.52451127819549</v>
      </c>
      <c r="N17" s="4">
        <f t="shared" si="11"/>
        <v>64.91260150375939</v>
      </c>
      <c r="O17" s="5">
        <f t="shared" si="12"/>
        <v>1087.3775962105283</v>
      </c>
      <c r="Q17" s="6">
        <v>129</v>
      </c>
      <c r="R17" s="6">
        <v>84.7</v>
      </c>
      <c r="S17" s="6">
        <v>65.599999999999994</v>
      </c>
      <c r="T17" s="6">
        <v>57.4</v>
      </c>
      <c r="U17" s="6">
        <v>72.099999999999994</v>
      </c>
      <c r="V17" s="6">
        <v>90.4</v>
      </c>
      <c r="W17" s="6">
        <v>127.2</v>
      </c>
      <c r="X17" s="6">
        <v>189.1</v>
      </c>
      <c r="Y17" s="6">
        <v>292.89999999999998</v>
      </c>
      <c r="Z17" s="6">
        <v>341.1</v>
      </c>
      <c r="AA17" s="6">
        <v>160.9</v>
      </c>
      <c r="AB17" s="6">
        <v>96.7</v>
      </c>
    </row>
    <row r="18" spans="2:28" ns3:dyDescent="0.2">
      <c r="B18">
        <v>1992</v>
      </c>
      <c r="C18" s="4">
        <f t="shared" si="0"/>
        <v>43.767338345864658</v>
      </c>
      <c r="D18" s="4">
        <f t="shared" si="1"/>
        <v>28.509834586466159</v>
      </c>
      <c r="E18" s="4">
        <f t="shared" si="2"/>
        <v>24.837293233082704</v>
      </c>
      <c r="F18" s="4">
        <f t="shared" si="3"/>
        <v>30.597293233082706</v>
      </c>
      <c r="G18" s="4">
        <f t="shared" si="4"/>
        <v>55.716090225563903</v>
      </c>
      <c r="H18" s="4">
        <f t="shared" si="5"/>
        <v>135.18676691729323</v>
      </c>
      <c r="I18" s="4">
        <f t="shared" si="6"/>
        <v>162.11368421052632</v>
      </c>
      <c r="J18" s="4">
        <f t="shared" si="7"/>
        <v>189.607956000001</v>
      </c>
      <c r="K18" s="4">
        <f t="shared" si="8"/>
        <v>189.607956000001</v>
      </c>
      <c r="L18" s="4">
        <f t="shared" si="9"/>
        <v>189.607956000001</v>
      </c>
      <c r="M18" s="4">
        <f t="shared" si="10"/>
        <v>189.607956000001</v>
      </c>
      <c r="N18" s="4">
        <f t="shared" si="11"/>
        <v>123.91795488721804</v>
      </c>
      <c r="O18" s="5">
        <f t="shared" si="12"/>
        <v>1363.0780796391016</v>
      </c>
      <c r="Q18" s="6">
        <v>65.2</v>
      </c>
      <c r="R18" s="6">
        <v>45.4</v>
      </c>
      <c r="S18" s="6">
        <v>37</v>
      </c>
      <c r="T18" s="6">
        <v>47.1</v>
      </c>
      <c r="U18" s="6">
        <v>83</v>
      </c>
      <c r="V18" s="6">
        <v>208.1</v>
      </c>
      <c r="W18" s="6">
        <v>241.5</v>
      </c>
      <c r="X18" s="6">
        <v>396.5</v>
      </c>
      <c r="Y18" s="6">
        <v>408.9</v>
      </c>
      <c r="Z18" s="6">
        <v>471.9</v>
      </c>
      <c r="AA18" s="6">
        <v>474.8</v>
      </c>
      <c r="AB18" s="6">
        <v>184.6</v>
      </c>
    </row>
    <row r="19" spans="2:28" ns3:dyDescent="0.2">
      <c r="B19">
        <v>1993</v>
      </c>
      <c r="C19" s="4">
        <f t="shared" si="0"/>
        <v>70.618466165413523</v>
      </c>
      <c r="D19" s="4">
        <f t="shared" si="1"/>
        <v>41.532631578947367</v>
      </c>
      <c r="E19" s="4">
        <f t="shared" si="2"/>
        <v>39.471157894736841</v>
      </c>
      <c r="F19" s="4">
        <f t="shared" si="3"/>
        <v>33.130827067669173</v>
      </c>
      <c r="G19" s="4">
        <f t="shared" si="4"/>
        <v>57.19290225563909</v>
      </c>
      <c r="H19" s="4">
        <f t="shared" si="5"/>
        <v>78.279699248120295</v>
      </c>
      <c r="I19" s="4">
        <f t="shared" si="6"/>
        <v>130.76499248120302</v>
      </c>
      <c r="J19" s="4">
        <f t="shared" si="7"/>
        <v>142.84800000000001</v>
      </c>
      <c r="K19" s="4">
        <f t="shared" si="8"/>
        <v>170.33142857142857</v>
      </c>
      <c r="L19" s="4">
        <f t="shared" si="9"/>
        <v>189.607956000001</v>
      </c>
      <c r="M19" s="4">
        <f t="shared" si="10"/>
        <v>171.17593984962403</v>
      </c>
      <c r="N19" s="4">
        <f t="shared" si="11"/>
        <v>189.607956000001</v>
      </c>
      <c r="O19" s="5">
        <f t="shared" si="12"/>
        <v>1314.5619571127838</v>
      </c>
      <c r="Q19" s="6">
        <v>105.2</v>
      </c>
      <c r="R19" s="6">
        <v>68.5</v>
      </c>
      <c r="S19" s="6">
        <v>58.8</v>
      </c>
      <c r="T19" s="6">
        <v>51</v>
      </c>
      <c r="U19" s="6">
        <v>85.2</v>
      </c>
      <c r="V19" s="6">
        <v>120.5</v>
      </c>
      <c r="W19" s="6">
        <v>194.8</v>
      </c>
      <c r="X19" s="6">
        <v>212.8</v>
      </c>
      <c r="Y19" s="6">
        <v>262.2</v>
      </c>
      <c r="Z19" s="6">
        <v>762.3</v>
      </c>
      <c r="AA19" s="6">
        <v>263.5</v>
      </c>
      <c r="AB19" s="6">
        <v>590.4</v>
      </c>
    </row>
    <row r="20" spans="2:28" ns3:dyDescent="0.2">
      <c r="B20">
        <v>1994</v>
      </c>
      <c r="C20" s="4">
        <f t="shared" si="0"/>
        <v>143.51927819548871</v>
      </c>
      <c r="D20" s="4">
        <f t="shared" si="1"/>
        <v>64.815157894736842</v>
      </c>
      <c r="E20" s="4">
        <f t="shared" si="2"/>
        <v>46.452451127819543</v>
      </c>
      <c r="F20" s="4">
        <f t="shared" si="3"/>
        <v>47.942255639097745</v>
      </c>
      <c r="G20" s="4">
        <f t="shared" si="4"/>
        <v>75.384541353383455</v>
      </c>
      <c r="H20" s="4">
        <f t="shared" si="5"/>
        <v>99.587368421052616</v>
      </c>
      <c r="I20" s="4">
        <f t="shared" si="6"/>
        <v>181.51362406015033</v>
      </c>
      <c r="J20" s="4">
        <f t="shared" si="7"/>
        <v>163.0534736842105</v>
      </c>
      <c r="K20" s="4">
        <f t="shared" si="8"/>
        <v>189.607956000001</v>
      </c>
      <c r="L20" s="4">
        <f t="shared" si="9"/>
        <v>189.607956000001</v>
      </c>
      <c r="M20" s="4">
        <f t="shared" si="10"/>
        <v>144.15157894736842</v>
      </c>
      <c r="N20" s="4">
        <f t="shared" si="11"/>
        <v>97.670977443609019</v>
      </c>
      <c r="O20" s="5">
        <f t="shared" si="12"/>
        <v>1443.3066187669192</v>
      </c>
      <c r="Q20" s="6">
        <v>213.8</v>
      </c>
      <c r="R20" s="6">
        <v>106.9</v>
      </c>
      <c r="S20" s="6">
        <v>69.2</v>
      </c>
      <c r="T20" s="6">
        <v>73.8</v>
      </c>
      <c r="U20" s="6">
        <v>112.3</v>
      </c>
      <c r="V20" s="6">
        <v>153.30000000000001</v>
      </c>
      <c r="W20" s="6">
        <v>270.39999999999998</v>
      </c>
      <c r="X20" s="6">
        <v>242.9</v>
      </c>
      <c r="Y20" s="6">
        <v>338.4</v>
      </c>
      <c r="Z20" s="6">
        <v>325.3</v>
      </c>
      <c r="AA20" s="6">
        <v>221.9</v>
      </c>
      <c r="AB20" s="6">
        <v>145.5</v>
      </c>
    </row>
    <row r="21" spans="2:28" ns3:dyDescent="0.2">
      <c r="B21">
        <v>1995</v>
      </c>
      <c r="C21" s="4">
        <f t="shared" si="0"/>
        <v>55.648962406015038</v>
      </c>
      <c r="D21" s="4">
        <f t="shared" si="1"/>
        <v>34.07494736842105</v>
      </c>
      <c r="E21" s="4">
        <f t="shared" si="2"/>
        <v>28.999218045112784</v>
      </c>
      <c r="F21" s="4">
        <f t="shared" si="3"/>
        <v>25.33533834586466</v>
      </c>
      <c r="G21" s="4">
        <f t="shared" si="4"/>
        <v>37.524451127819546</v>
      </c>
      <c r="H21" s="4">
        <f t="shared" si="5"/>
        <v>51.645112781954886</v>
      </c>
      <c r="I21" s="4">
        <f t="shared" si="6"/>
        <v>109.55260150375939</v>
      </c>
      <c r="J21" s="4">
        <f t="shared" si="7"/>
        <v>114.72144360902254</v>
      </c>
      <c r="K21" s="4">
        <f t="shared" si="8"/>
        <v>189.607956000001</v>
      </c>
      <c r="L21" s="4">
        <f t="shared" si="9"/>
        <v>189.607956000001</v>
      </c>
      <c r="M21" s="4">
        <f t="shared" si="10"/>
        <v>181.56992481203008</v>
      </c>
      <c r="N21" s="4">
        <f t="shared" si="11"/>
        <v>149.22514285714283</v>
      </c>
      <c r="O21" s="5">
        <f t="shared" si="12"/>
        <v>1167.5130548571447</v>
      </c>
      <c r="Q21" s="6">
        <v>82.9</v>
      </c>
      <c r="R21" s="6">
        <v>56.2</v>
      </c>
      <c r="S21" s="6">
        <v>43.2</v>
      </c>
      <c r="T21" s="6">
        <v>39</v>
      </c>
      <c r="U21" s="6">
        <v>55.9</v>
      </c>
      <c r="V21" s="6">
        <v>79.5</v>
      </c>
      <c r="W21" s="6">
        <v>163.19999999999999</v>
      </c>
      <c r="X21" s="6">
        <v>170.9</v>
      </c>
      <c r="Y21" s="6">
        <v>328.8</v>
      </c>
      <c r="Z21" s="6">
        <v>446.3</v>
      </c>
      <c r="AA21" s="6">
        <v>279.5</v>
      </c>
      <c r="AB21" s="6">
        <v>222.3</v>
      </c>
    </row>
    <row r="22" spans="2:28" ns3:dyDescent="0.2">
      <c r="B22">
        <v>1996</v>
      </c>
      <c r="C22" s="4">
        <f t="shared" si="0"/>
        <v>119.75603007518797</v>
      </c>
      <c r="D22" s="4">
        <f t="shared" si="1"/>
        <v>49.170045112781942</v>
      </c>
      <c r="E22" s="4">
        <f t="shared" si="2"/>
        <v>32.087097744360896</v>
      </c>
      <c r="F22" s="4">
        <f t="shared" si="3"/>
        <v>35.014736842105265</v>
      </c>
      <c r="G22" s="4">
        <f t="shared" si="4"/>
        <v>117.40655639097744</v>
      </c>
      <c r="H22" s="4">
        <f t="shared" si="5"/>
        <v>162.470977443609</v>
      </c>
      <c r="I22" s="4">
        <f t="shared" si="6"/>
        <v>189.607956000001</v>
      </c>
      <c r="J22" s="4">
        <f t="shared" si="7"/>
        <v>189.607956000001</v>
      </c>
      <c r="K22" s="4">
        <f t="shared" si="8"/>
        <v>189.607956000001</v>
      </c>
      <c r="L22" s="4">
        <f t="shared" si="9"/>
        <v>189.607956000001</v>
      </c>
      <c r="M22" s="4">
        <f t="shared" si="10"/>
        <v>189.607956000001</v>
      </c>
      <c r="N22" s="4">
        <f t="shared" si="11"/>
        <v>189.607956000001</v>
      </c>
      <c r="O22" s="5">
        <f t="shared" si="12"/>
        <v>1653.5531796090283</v>
      </c>
      <c r="Q22" s="6">
        <v>178.4</v>
      </c>
      <c r="R22" s="6">
        <v>78.3</v>
      </c>
      <c r="S22" s="6">
        <v>47.8</v>
      </c>
      <c r="T22" s="6">
        <v>53.9</v>
      </c>
      <c r="U22" s="6">
        <v>174.9</v>
      </c>
      <c r="V22" s="6">
        <v>250.1</v>
      </c>
      <c r="W22" s="6">
        <v>297.10000000000002</v>
      </c>
      <c r="X22" s="6">
        <v>326.89999999999998</v>
      </c>
      <c r="Y22" s="6">
        <v>468.8</v>
      </c>
      <c r="Z22" s="6">
        <v>647.6</v>
      </c>
      <c r="AA22" s="6">
        <v>767</v>
      </c>
      <c r="AB22" s="6">
        <v>646</v>
      </c>
    </row>
    <row r="23" spans="2:28" ns3:dyDescent="0.2">
      <c r="B23">
        <v>1997</v>
      </c>
      <c r="C23" s="4">
        <f t="shared" si="0"/>
        <v>189.607956000001</v>
      </c>
      <c r="D23" s="4">
        <f t="shared" si="1"/>
        <v>77.426526315789474</v>
      </c>
      <c r="E23" s="4">
        <f t="shared" si="2"/>
        <v>41.149353383458646</v>
      </c>
      <c r="F23" s="4">
        <f t="shared" si="3"/>
        <v>65.61203007518796</v>
      </c>
      <c r="G23" s="4">
        <f t="shared" si="4"/>
        <v>91.025323308270671</v>
      </c>
      <c r="H23" s="4">
        <f t="shared" si="5"/>
        <v>85.165714285714287</v>
      </c>
      <c r="I23" s="4">
        <f t="shared" si="6"/>
        <v>189.607956000001</v>
      </c>
      <c r="J23" s="4">
        <f t="shared" si="7"/>
        <v>189.607956000001</v>
      </c>
      <c r="K23" s="4">
        <f t="shared" si="8"/>
        <v>189.607956000001</v>
      </c>
      <c r="L23" s="4">
        <f t="shared" si="9"/>
        <v>189.607956000001</v>
      </c>
      <c r="M23" s="4">
        <f t="shared" si="10"/>
        <v>186.37714285714284</v>
      </c>
      <c r="N23" s="4">
        <f t="shared" si="11"/>
        <v>77.53263157894736</v>
      </c>
      <c r="O23" s="5">
        <f t="shared" si="12"/>
        <v>1572.3285018045162</v>
      </c>
      <c r="Q23" s="6">
        <v>304.10000000000002</v>
      </c>
      <c r="R23" s="6">
        <v>127.7</v>
      </c>
      <c r="S23" s="6">
        <v>61.3</v>
      </c>
      <c r="T23" s="6">
        <v>101</v>
      </c>
      <c r="U23" s="6">
        <v>135.6</v>
      </c>
      <c r="V23" s="6">
        <v>131.1</v>
      </c>
      <c r="W23" s="6">
        <v>294.8</v>
      </c>
      <c r="X23" s="6">
        <v>416.1</v>
      </c>
      <c r="Y23" s="6">
        <v>434.9</v>
      </c>
      <c r="Z23" s="6">
        <v>402.6</v>
      </c>
      <c r="AA23" s="6">
        <v>286.89999999999998</v>
      </c>
      <c r="AB23" s="6">
        <v>115.5</v>
      </c>
    </row>
    <row r="24" spans="2:28" ns3:dyDescent="0.2">
      <c r="B24">
        <v>1998</v>
      </c>
      <c r="C24" s="4">
        <f t="shared" si="0"/>
        <v>45.042766917293221</v>
      </c>
      <c r="D24" s="4">
        <f t="shared" si="1"/>
        <v>27.284210526315789</v>
      </c>
      <c r="E24" s="4">
        <f t="shared" si="2"/>
        <v>17.923127819548871</v>
      </c>
      <c r="F24" s="4">
        <f t="shared" si="3"/>
        <v>15.980751879699246</v>
      </c>
      <c r="G24" s="4">
        <f t="shared" si="4"/>
        <v>41.484992481203008</v>
      </c>
      <c r="H24" s="4">
        <f t="shared" si="5"/>
        <v>44.36932330827068</v>
      </c>
      <c r="I24" s="4">
        <f t="shared" si="6"/>
        <v>77.80114285714285</v>
      </c>
      <c r="J24" s="4">
        <f t="shared" si="7"/>
        <v>124.18646616541353</v>
      </c>
      <c r="K24" s="4">
        <f t="shared" si="8"/>
        <v>133.17293233082705</v>
      </c>
      <c r="L24" s="4">
        <f t="shared" si="9"/>
        <v>189.607956000001</v>
      </c>
      <c r="M24" s="4">
        <f t="shared" si="10"/>
        <v>189.607956000001</v>
      </c>
      <c r="N24" s="4">
        <f t="shared" si="11"/>
        <v>189.607956000001</v>
      </c>
      <c r="O24" s="5">
        <f t="shared" si="12"/>
        <v>1096.0695822857172</v>
      </c>
      <c r="Q24" s="6">
        <v>67.099999999999994</v>
      </c>
      <c r="R24" s="6">
        <v>45</v>
      </c>
      <c r="S24" s="6">
        <v>26.7</v>
      </c>
      <c r="T24" s="6">
        <v>24.6</v>
      </c>
      <c r="U24" s="6">
        <v>61.8</v>
      </c>
      <c r="V24" s="6">
        <v>68.3</v>
      </c>
      <c r="W24" s="6">
        <v>115.9</v>
      </c>
      <c r="X24" s="6">
        <v>185</v>
      </c>
      <c r="Y24" s="6">
        <v>205</v>
      </c>
      <c r="Z24" s="6">
        <v>427.7</v>
      </c>
      <c r="AA24" s="6">
        <v>957.4</v>
      </c>
      <c r="AB24" s="6">
        <v>867.5</v>
      </c>
    </row>
    <row r="25" spans="2:28" ns3:dyDescent="0.2">
      <c r="B25">
        <v>1999</v>
      </c>
      <c r="C25" s="4">
        <f t="shared" si="0"/>
        <v>189.607956000001</v>
      </c>
      <c r="D25" s="4">
        <f t="shared" si="1"/>
        <v>94.221473684210508</v>
      </c>
      <c r="E25" s="4">
        <f t="shared" si="2"/>
        <v>64.711218045112787</v>
      </c>
      <c r="F25" s="4">
        <f t="shared" si="3"/>
        <v>79.254135338345861</v>
      </c>
      <c r="G25" s="4">
        <f t="shared" si="4"/>
        <v>189.607956000001</v>
      </c>
      <c r="H25" s="4">
        <f t="shared" si="5"/>
        <v>189.607956000001</v>
      </c>
      <c r="I25" s="4">
        <f t="shared" si="6"/>
        <v>189.607956000001</v>
      </c>
      <c r="J25" s="4">
        <f t="shared" si="7"/>
        <v>189.607956000001</v>
      </c>
      <c r="K25" s="4">
        <f t="shared" si="8"/>
        <v>189.607956000001</v>
      </c>
      <c r="L25" s="4">
        <f t="shared" si="9"/>
        <v>189.607956000001</v>
      </c>
      <c r="M25" s="4">
        <f t="shared" si="10"/>
        <v>189.607956000001</v>
      </c>
      <c r="N25" s="4">
        <f t="shared" si="11"/>
        <v>189.607956000001</v>
      </c>
      <c r="O25" s="5">
        <f t="shared" si="12"/>
        <v>1944.6584310676781</v>
      </c>
      <c r="Q25" s="6">
        <v>331.9</v>
      </c>
      <c r="R25" s="6">
        <v>155.4</v>
      </c>
      <c r="S25" s="6">
        <v>96.4</v>
      </c>
      <c r="T25" s="6">
        <v>122</v>
      </c>
      <c r="U25" s="6">
        <v>357.8</v>
      </c>
      <c r="V25" s="6">
        <v>451.4</v>
      </c>
      <c r="W25" s="6">
        <v>306.2</v>
      </c>
      <c r="X25" s="6">
        <v>462.1</v>
      </c>
      <c r="Y25" s="6">
        <v>389.8</v>
      </c>
      <c r="Z25" s="6">
        <v>444.8</v>
      </c>
      <c r="AA25" s="6">
        <v>634</v>
      </c>
      <c r="AB25" s="6">
        <v>662.8</v>
      </c>
    </row>
    <row r="26" spans="2:28" ns3:dyDescent="0.2">
      <c r="B26">
        <v>2000</v>
      </c>
      <c r="C26" s="4">
        <f t="shared" si="0"/>
        <v>154.39398496240602</v>
      </c>
      <c r="D26" s="4">
        <f t="shared" si="1"/>
        <v>81.322105263157894</v>
      </c>
      <c r="E26" s="4">
        <f t="shared" si="2"/>
        <v>57.52854135338346</v>
      </c>
      <c r="F26" s="4">
        <f t="shared" si="3"/>
        <v>73.472481203007519</v>
      </c>
      <c r="G26" s="4">
        <f t="shared" si="4"/>
        <v>106.80036090225563</v>
      </c>
      <c r="H26" s="4">
        <f t="shared" si="5"/>
        <v>166.6935338345865</v>
      </c>
      <c r="I26" s="4">
        <f t="shared" si="6"/>
        <v>189.607956000001</v>
      </c>
      <c r="J26" s="4">
        <f t="shared" si="7"/>
        <v>189.607956000001</v>
      </c>
      <c r="K26" s="4">
        <f t="shared" si="8"/>
        <v>189.607956000001</v>
      </c>
      <c r="L26" s="4">
        <f t="shared" si="9"/>
        <v>189.607956000001</v>
      </c>
      <c r="M26" s="4">
        <f t="shared" si="10"/>
        <v>189.607956000001</v>
      </c>
      <c r="N26" s="4">
        <f t="shared" si="11"/>
        <v>189.607956000001</v>
      </c>
      <c r="O26" s="5">
        <f t="shared" si="12"/>
        <v>1777.8587435188028</v>
      </c>
      <c r="Q26" s="6">
        <v>230</v>
      </c>
      <c r="R26" s="6">
        <v>129.5</v>
      </c>
      <c r="S26" s="6">
        <v>85.7</v>
      </c>
      <c r="T26" s="6">
        <v>113.1</v>
      </c>
      <c r="U26" s="6">
        <v>159.1</v>
      </c>
      <c r="V26" s="6">
        <v>256.60000000000002</v>
      </c>
      <c r="W26" s="6">
        <v>341.1</v>
      </c>
      <c r="X26" s="6">
        <v>339</v>
      </c>
      <c r="Y26" s="6">
        <v>542.5</v>
      </c>
      <c r="Z26" s="6">
        <v>1217.0999999999999</v>
      </c>
      <c r="AA26" s="6">
        <v>526.5</v>
      </c>
      <c r="AB26" s="6">
        <v>551.5</v>
      </c>
    </row>
    <row r="27" spans="2:28" ns3:dyDescent="0.2">
      <c r="B27">
        <v>2001</v>
      </c>
      <c r="C27" s="4">
        <f t="shared" si="0"/>
        <v>146.13726315789472</v>
      </c>
      <c r="D27" s="4">
        <f t="shared" si="1"/>
        <v>64.754526315789477</v>
      </c>
      <c r="E27" s="4">
        <f t="shared" si="2"/>
        <v>62.361744360902257</v>
      </c>
      <c r="F27" s="4">
        <f t="shared" si="3"/>
        <v>53.853834586466164</v>
      </c>
      <c r="G27" s="4">
        <f t="shared" si="4"/>
        <v>65.18111278195488</v>
      </c>
      <c r="H27" s="4">
        <f t="shared" si="5"/>
        <v>111.86526315789473</v>
      </c>
      <c r="I27" s="4">
        <f t="shared" si="6"/>
        <v>130.02658646616538</v>
      </c>
      <c r="J27" s="4">
        <f t="shared" si="7"/>
        <v>189.607956000001</v>
      </c>
      <c r="K27" s="4">
        <f t="shared" si="8"/>
        <v>189.607956000001</v>
      </c>
      <c r="L27" s="4">
        <f t="shared" si="9"/>
        <v>189.607956000001</v>
      </c>
      <c r="M27" s="4">
        <f t="shared" si="10"/>
        <v>189.607956000001</v>
      </c>
      <c r="N27" s="4">
        <f t="shared" si="11"/>
        <v>119.48751879699248</v>
      </c>
      <c r="O27" s="5">
        <f t="shared" si="12"/>
        <v>1512.0996736240638</v>
      </c>
      <c r="Q27" s="6">
        <v>217.7</v>
      </c>
      <c r="R27" s="6">
        <v>106.8</v>
      </c>
      <c r="S27" s="6">
        <v>92.9</v>
      </c>
      <c r="T27" s="6">
        <v>82.9</v>
      </c>
      <c r="U27" s="6">
        <v>97.1</v>
      </c>
      <c r="V27" s="6">
        <v>172.2</v>
      </c>
      <c r="W27" s="6">
        <v>193.7</v>
      </c>
      <c r="X27" s="6">
        <v>524.1</v>
      </c>
      <c r="Y27" s="6">
        <v>443.7</v>
      </c>
      <c r="Z27" s="6">
        <v>343.2</v>
      </c>
      <c r="AA27" s="6">
        <v>296</v>
      </c>
      <c r="AB27" s="6">
        <v>178</v>
      </c>
    </row>
    <row r="28" spans="2:28" ns3:dyDescent="0.2">
      <c r="B28">
        <v>2002</v>
      </c>
      <c r="C28" s="4">
        <f t="shared" si="0"/>
        <v>66.926436090225565</v>
      </c>
      <c r="D28" s="4">
        <f t="shared" si="1"/>
        <v>36.682105263157887</v>
      </c>
      <c r="E28" s="4">
        <f t="shared" si="2"/>
        <v>26.38123308270676</v>
      </c>
      <c r="F28" s="4">
        <f t="shared" si="3"/>
        <v>25.465263157894736</v>
      </c>
      <c r="G28" s="4">
        <f t="shared" si="4"/>
        <v>28.596451127819545</v>
      </c>
      <c r="H28" s="4">
        <f t="shared" si="5"/>
        <v>79.773834586466165</v>
      </c>
      <c r="I28" s="4">
        <f t="shared" si="6"/>
        <v>75.921563909774434</v>
      </c>
      <c r="J28" s="4">
        <f t="shared" si="7"/>
        <v>189.607956000001</v>
      </c>
      <c r="K28" s="4">
        <f t="shared" si="8"/>
        <v>189.607956000001</v>
      </c>
      <c r="L28" s="4">
        <f t="shared" si="9"/>
        <v>189.607956000001</v>
      </c>
      <c r="M28" s="4">
        <f t="shared" si="10"/>
        <v>189.607956000001</v>
      </c>
      <c r="N28" s="4">
        <f t="shared" si="11"/>
        <v>121.16571428571429</v>
      </c>
      <c r="O28" s="5">
        <f t="shared" si="12"/>
        <v>1219.3444255037634</v>
      </c>
      <c r="Q28" s="6">
        <v>99.7</v>
      </c>
      <c r="R28" s="6">
        <v>60.5</v>
      </c>
      <c r="S28" s="6">
        <v>39.299999999999997</v>
      </c>
      <c r="T28" s="6">
        <v>39.200000000000003</v>
      </c>
      <c r="U28" s="6">
        <v>42.6</v>
      </c>
      <c r="V28" s="6">
        <v>122.8</v>
      </c>
      <c r="W28" s="6">
        <v>113.1</v>
      </c>
      <c r="X28" s="6">
        <v>459.6</v>
      </c>
      <c r="Y28" s="6">
        <v>471.5</v>
      </c>
      <c r="Z28" s="6">
        <v>302.3</v>
      </c>
      <c r="AA28" s="6">
        <v>344.5</v>
      </c>
      <c r="AB28" s="6">
        <v>180.5</v>
      </c>
    </row>
    <row r="29" spans="2:28" ns3:dyDescent="0.2">
      <c r="B29">
        <v>2003</v>
      </c>
      <c r="C29" s="4">
        <f t="shared" si="0"/>
        <v>63.077552803169745</v>
      </c>
      <c r="D29" s="4">
        <f t="shared" si="1"/>
        <v>35.292818169906106</v>
      </c>
      <c r="E29" s="4">
        <f t="shared" si="2"/>
        <v>27.395776045923938</v>
      </c>
      <c r="F29" s="4">
        <f t="shared" si="3"/>
        <v>25.309063164134404</v>
      </c>
      <c r="G29" s="4">
        <f t="shared" si="4"/>
        <v>57.270220097962742</v>
      </c>
      <c r="H29" s="4">
        <f t="shared" si="5"/>
        <v>81.965941110036496</v>
      </c>
      <c r="I29" s="4">
        <f t="shared" si="6"/>
        <v>99.658764171840389</v>
      </c>
      <c r="J29" s="4">
        <f t="shared" si="7"/>
        <v>154.85622437837333</v>
      </c>
      <c r="K29" s="4">
        <f t="shared" si="8"/>
        <v>186.64067637974603</v>
      </c>
      <c r="L29" s="4">
        <f t="shared" si="9"/>
        <v>189.607956000001</v>
      </c>
      <c r="M29" s="4">
        <f t="shared" si="10"/>
        <v>189.607956000001</v>
      </c>
      <c r="N29" s="4">
        <f t="shared" si="11"/>
        <v>108.55492989735751</v>
      </c>
      <c r="O29" s="5">
        <f t="shared" si="12"/>
        <v>1219.2378782184528</v>
      </c>
      <c r="Q29" s="6">
        <v>93.966336501137732</v>
      </c>
      <c r="R29" s="6">
        <v>58.208641078838177</v>
      </c>
      <c r="S29" s="6">
        <v>40.811359925043504</v>
      </c>
      <c r="T29" s="6">
        <v>38.959553250345792</v>
      </c>
      <c r="U29" s="6">
        <v>85.315180029447191</v>
      </c>
      <c r="V29" s="6">
        <v>126.17442323651453</v>
      </c>
      <c r="W29" s="6">
        <v>148.46119662695759</v>
      </c>
      <c r="X29" s="6">
        <v>230.68859590416278</v>
      </c>
      <c r="Y29" s="6">
        <v>287.30567081604426</v>
      </c>
      <c r="Z29" s="6">
        <v>343.4864944451881</v>
      </c>
      <c r="AA29" s="6">
        <v>313.37070357554785</v>
      </c>
      <c r="AB29" s="6">
        <v>161.71377325659216</v>
      </c>
    </row>
    <row r="30" spans="2:28" ns3:dyDescent="0.2">
      <c r="B30">
        <v>2004</v>
      </c>
      <c r="C30" s="4">
        <f t="shared" si="0"/>
        <v>64.224278538670319</v>
      </c>
      <c r="D30" s="4">
        <f t="shared" si="1"/>
        <v>34.95880448007987</v>
      </c>
      <c r="E30" s="4">
        <f t="shared" si="2"/>
        <v>25.738949864287267</v>
      </c>
      <c r="F30" s="4">
        <f t="shared" si="3"/>
        <v>31.093703054316293</v>
      </c>
      <c r="G30" s="4">
        <f t="shared" si="4"/>
        <v>41.405510123857368</v>
      </c>
      <c r="H30" s="4">
        <f t="shared" si="5"/>
        <v>82.899631485352373</v>
      </c>
      <c r="I30" s="4">
        <f t="shared" si="6"/>
        <v>90.520817895360807</v>
      </c>
      <c r="J30" s="4">
        <f t="shared" si="7"/>
        <v>189.607956000001</v>
      </c>
      <c r="K30" s="4">
        <f t="shared" si="8"/>
        <v>127.15676660530995</v>
      </c>
      <c r="L30" s="4">
        <f t="shared" si="9"/>
        <v>86.248061647895668</v>
      </c>
      <c r="M30" s="4">
        <f t="shared" si="10"/>
        <v>54.620516769101172</v>
      </c>
      <c r="N30" s="4">
        <f t="shared" si="11"/>
        <v>52.993105169562909</v>
      </c>
      <c r="O30" s="5">
        <f t="shared" si="12"/>
        <v>881.46810163379484</v>
      </c>
      <c r="Q30" s="6">
        <v>95.674608486146425</v>
      </c>
      <c r="R30" s="6">
        <v>55.669552153383883</v>
      </c>
      <c r="S30" s="6">
        <v>38.343193682237988</v>
      </c>
      <c r="T30" s="6">
        <v>47.864149377593364</v>
      </c>
      <c r="U30" s="6">
        <v>61.681595502610094</v>
      </c>
      <c r="V30" s="6">
        <v>127.61170124481328</v>
      </c>
      <c r="W30" s="6">
        <v>134.84844063713024</v>
      </c>
      <c r="X30" s="6">
        <v>310.82233971355907</v>
      </c>
      <c r="Y30" s="6">
        <v>195.73900414937759</v>
      </c>
      <c r="Z30" s="6">
        <v>128.48333556418149</v>
      </c>
      <c r="AA30" s="6">
        <v>84.080193637621022</v>
      </c>
      <c r="AB30" s="6">
        <v>78.943581849819296</v>
      </c>
    </row>
    <row r="31" spans="2:28" ns3:dyDescent="0.2">
      <c r="B31">
        <v>2005</v>
      </c>
      <c r="C31" s="4">
        <f t="shared" si="0"/>
        <v>23.046879905157081</v>
      </c>
      <c r="D31" s="4">
        <f t="shared" si="1"/>
        <v>14.182700302623775</v>
      </c>
      <c r="E31" s="4">
        <f t="shared" si="2"/>
        <v>12.258406015037584</v>
      </c>
      <c r="F31" s="4">
        <f t="shared" si="3"/>
        <v>13.708397466695786</v>
      </c>
      <c r="G31" s="4">
        <f t="shared" si="4"/>
        <v>31.594866003182229</v>
      </c>
      <c r="H31" s="4">
        <f t="shared" si="5"/>
        <v>38.024571802951357</v>
      </c>
      <c r="I31" s="4">
        <f t="shared" si="6"/>
        <v>66.751720462983187</v>
      </c>
      <c r="J31" s="4">
        <f t="shared" si="7"/>
        <v>146.67531900290146</v>
      </c>
      <c r="K31" s="4">
        <f t="shared" si="8"/>
        <v>189.607956000001</v>
      </c>
      <c r="L31" s="4">
        <f t="shared" si="9"/>
        <v>189.607956000001</v>
      </c>
      <c r="M31" s="4">
        <f t="shared" si="10"/>
        <v>169.73553551929615</v>
      </c>
      <c r="N31" s="4">
        <f t="shared" si="11"/>
        <v>189.607956000001</v>
      </c>
      <c r="O31" s="5">
        <f t="shared" si="12"/>
        <v>1084.8022644808316</v>
      </c>
      <c r="Q31" s="6">
        <v>34.33282960781689</v>
      </c>
      <c r="R31" s="6">
        <v>23.391606401896855</v>
      </c>
      <c r="S31" s="6">
        <v>18.261290322580635</v>
      </c>
      <c r="T31" s="6">
        <v>21.10204702627939</v>
      </c>
      <c r="U31" s="6">
        <v>47.066724668719047</v>
      </c>
      <c r="V31" s="6">
        <v>58.533195020746888</v>
      </c>
      <c r="W31" s="6">
        <v>99.439726944184187</v>
      </c>
      <c r="X31" s="6">
        <v>218.50153928523628</v>
      </c>
      <c r="Y31" s="6">
        <v>521.1430152143846</v>
      </c>
      <c r="Z31" s="6">
        <v>323.97376522553873</v>
      </c>
      <c r="AA31" s="6">
        <v>261.28271092669434</v>
      </c>
      <c r="AB31" s="6">
        <v>661.06596718383753</v>
      </c>
    </row>
    <row r="32" spans="2:28" ns3:dyDescent="0.2">
      <c r="B32">
        <v>2006</v>
      </c>
      <c r="C32" s="4">
        <f t="shared" si="0"/>
        <v>150.23171871587678</v>
      </c>
      <c r="D32" s="4">
        <f t="shared" si="1"/>
        <v>57.860532493058372</v>
      </c>
      <c r="E32" s="4">
        <f t="shared" si="2"/>
        <v>45.560300751879701</v>
      </c>
      <c r="F32" s="4">
        <f t="shared" si="3"/>
        <v>43.194797616447751</v>
      </c>
      <c r="G32" s="4">
        <f t="shared" si="4"/>
        <v>63.561446354475393</v>
      </c>
      <c r="H32" s="4">
        <f t="shared" si="5"/>
        <v>76.428279661810151</v>
      </c>
      <c r="I32" s="4">
        <f t="shared" si="6"/>
        <v>167.75536817146599</v>
      </c>
      <c r="J32" s="4">
        <f t="shared" si="7"/>
        <v>189.607956000001</v>
      </c>
      <c r="K32" s="4">
        <f t="shared" si="8"/>
        <v>189.607956000001</v>
      </c>
      <c r="L32" s="4">
        <f t="shared" si="9"/>
        <v>189.607956000001</v>
      </c>
      <c r="M32" s="4">
        <f t="shared" si="10"/>
        <v>122.26692141141233</v>
      </c>
      <c r="N32" s="4">
        <f t="shared" si="11"/>
        <v>94.87351474120986</v>
      </c>
      <c r="O32" s="5">
        <f t="shared" si="12"/>
        <v>1390.5567479176393</v>
      </c>
      <c r="Q32" s="6">
        <v>223.79949136661759</v>
      </c>
      <c r="R32" s="6">
        <v>95.429697688203902</v>
      </c>
      <c r="S32" s="6">
        <v>67.870967741935488</v>
      </c>
      <c r="T32" s="6">
        <v>66.491991701244814</v>
      </c>
      <c r="U32" s="6">
        <v>94.687190469816628</v>
      </c>
      <c r="V32" s="6">
        <v>117.65001383125866</v>
      </c>
      <c r="W32" s="6">
        <v>249.90439030919555</v>
      </c>
      <c r="X32" s="6">
        <v>400.77760674608487</v>
      </c>
      <c r="Y32" s="6">
        <v>412.92697095435688</v>
      </c>
      <c r="Z32" s="6">
        <v>513.64382278142148</v>
      </c>
      <c r="AA32" s="6">
        <v>188.21181189488243</v>
      </c>
      <c r="AB32" s="6">
        <v>141.33263284700843</v>
      </c>
    </row>
    <row r="33" spans="1:28" ns3:dyDescent="0.2">
      <c r="B33">
        <v>2007</v>
      </c>
      <c r="C33" s="4">
        <f t="shared" si="0"/>
        <v>69.814010545034762</v>
      </c>
      <c r="D33" s="4">
        <f t="shared" si="1"/>
        <v>30.034411505943275</v>
      </c>
      <c r="E33" s="4">
        <f t="shared" si="2"/>
        <v>27.165474882226309</v>
      </c>
      <c r="F33" s="4">
        <f t="shared" si="3"/>
        <v>25.921212990983687</v>
      </c>
      <c r="G33" s="4">
        <f t="shared" si="4"/>
        <v>77.773333915702111</v>
      </c>
      <c r="H33" s="4">
        <f t="shared" si="5"/>
        <v>108.12909818113749</v>
      </c>
      <c r="I33" s="4">
        <f t="shared" si="6"/>
        <v>166.7500861697813</v>
      </c>
      <c r="J33" s="4">
        <f t="shared" si="7"/>
        <v>189.607956000001</v>
      </c>
      <c r="K33" s="4">
        <f t="shared" si="8"/>
        <v>189.607956000001</v>
      </c>
      <c r="L33" s="4">
        <f t="shared" si="9"/>
        <v>189.607956000001</v>
      </c>
      <c r="M33" s="4">
        <f t="shared" si="10"/>
        <v>189.607956000001</v>
      </c>
      <c r="N33" s="4">
        <f t="shared" si="11"/>
        <v>189.607956000001</v>
      </c>
      <c r="O33" s="5">
        <f t="shared" si="12"/>
        <v>1453.6274081908139</v>
      </c>
      <c r="Q33" s="6">
        <v>104.0016062106813</v>
      </c>
      <c r="R33" s="6">
        <v>49.53592175459395</v>
      </c>
      <c r="S33" s="6">
        <v>40.468281354571005</v>
      </c>
      <c r="T33" s="6">
        <v>39.901867219917015</v>
      </c>
      <c r="U33" s="6">
        <v>115.85857314951144</v>
      </c>
      <c r="V33" s="6">
        <v>166.44872752420471</v>
      </c>
      <c r="W33" s="6">
        <v>248.40682639539551</v>
      </c>
      <c r="X33" s="6">
        <v>876.28871636996382</v>
      </c>
      <c r="Y33" s="6">
        <v>617.21410788381741</v>
      </c>
      <c r="Z33" s="6">
        <v>697.26863873644754</v>
      </c>
      <c r="AA33" s="6">
        <v>735.29917012448129</v>
      </c>
      <c r="AB33" s="6">
        <v>322.4689064382278</v>
      </c>
    </row>
    <row r="34" spans="1:28" ns3:dyDescent="0.2">
      <c r="B34">
        <v>2008</v>
      </c>
      <c r="C34" s="4">
        <f t="shared" si="0"/>
        <v>112.84362574486005</v>
      </c>
      <c r="D34" s="4">
        <f t="shared" si="1"/>
        <v>64.226021651639471</v>
      </c>
      <c r="E34" s="4">
        <f t="shared" si="2"/>
        <v>50.166809222225694</v>
      </c>
      <c r="F34" s="4">
        <f t="shared" si="3"/>
        <v>44.47356865192026</v>
      </c>
      <c r="G34" s="4">
        <f t="shared" si="4"/>
        <v>115.47629239072789</v>
      </c>
      <c r="H34" s="4">
        <f t="shared" si="5"/>
        <v>108.29286094905314</v>
      </c>
      <c r="I34" s="4">
        <f t="shared" si="6"/>
        <v>118.38075886812464</v>
      </c>
      <c r="J34" s="4">
        <f t="shared" si="7"/>
        <v>189.607956000001</v>
      </c>
      <c r="K34" s="4">
        <f t="shared" si="8"/>
        <v>189.607956000001</v>
      </c>
      <c r="L34" s="4">
        <f t="shared" si="9"/>
        <v>189.607956000001</v>
      </c>
      <c r="M34" s="4">
        <f t="shared" si="10"/>
        <v>189.607956000001</v>
      </c>
      <c r="N34" s="4">
        <f t="shared" si="11"/>
        <v>189.607956000001</v>
      </c>
      <c r="O34" s="5">
        <f t="shared" si="12"/>
        <v>1561.8997174785561</v>
      </c>
      <c r="Q34" s="6">
        <v>168.10262347744612</v>
      </c>
      <c r="R34" s="6">
        <v>102.27563313778796</v>
      </c>
      <c r="S34" s="6">
        <v>74.733261946191959</v>
      </c>
      <c r="T34" s="6">
        <v>68.460470262793919</v>
      </c>
      <c r="U34" s="6">
        <v>172.02449471288986</v>
      </c>
      <c r="V34" s="6">
        <v>166.70081604426005</v>
      </c>
      <c r="W34" s="6">
        <v>176.35126489091152</v>
      </c>
      <c r="X34" s="6">
        <v>288.49129969214295</v>
      </c>
      <c r="Y34" s="6">
        <v>345.5317980636238</v>
      </c>
      <c r="Z34" s="6">
        <v>398.60503279346807</v>
      </c>
      <c r="AA34" s="6">
        <v>543.79918395573998</v>
      </c>
      <c r="AB34" s="6">
        <v>422.01270244947131</v>
      </c>
    </row>
    <row r="35" spans="1:28" ns3:dyDescent="0.2">
      <c r="B35">
        <v>2009</v>
      </c>
      <c r="C35" s="4">
        <f t="shared" si="0"/>
        <v>112.77473684210526</v>
      </c>
      <c r="D35" s="4">
        <f t="shared" si="1"/>
        <v>61.844210526315784</v>
      </c>
      <c r="E35" s="4">
        <f t="shared" si="2"/>
        <v>50.144481203007523</v>
      </c>
      <c r="F35" s="4">
        <f t="shared" si="3"/>
        <v>44.499248120300749</v>
      </c>
      <c r="G35" s="4">
        <f t="shared" si="4"/>
        <v>115.45984962406014</v>
      </c>
      <c r="H35" s="4">
        <f t="shared" si="5"/>
        <v>108.48721804511277</v>
      </c>
      <c r="I35" s="4">
        <f t="shared" si="6"/>
        <v>118.14496240601504</v>
      </c>
      <c r="J35" s="4">
        <f t="shared" si="7"/>
        <v>189.607956000001</v>
      </c>
      <c r="K35" s="4">
        <f t="shared" si="8"/>
        <v>189.607956000001</v>
      </c>
      <c r="L35" s="4">
        <f t="shared" si="9"/>
        <v>189.607956000001</v>
      </c>
      <c r="M35" s="4">
        <f t="shared" si="10"/>
        <v>189.607956000001</v>
      </c>
      <c r="N35" s="4">
        <f t="shared" si="11"/>
        <v>189.607956000001</v>
      </c>
      <c r="O35" s="5">
        <f t="shared" si="12"/>
        <v>1559.3944867669222</v>
      </c>
      <c r="Q35" s="6">
        <v>168</v>
      </c>
      <c r="R35" s="6">
        <v>102</v>
      </c>
      <c r="S35" s="6">
        <v>74.7</v>
      </c>
      <c r="T35" s="6">
        <v>68.5</v>
      </c>
      <c r="U35" s="6">
        <v>172</v>
      </c>
      <c r="V35" s="6">
        <v>167</v>
      </c>
      <c r="W35" s="6">
        <v>176</v>
      </c>
      <c r="X35" s="6">
        <v>288</v>
      </c>
      <c r="Y35" s="6">
        <v>346</v>
      </c>
      <c r="Z35" s="6">
        <v>399</v>
      </c>
      <c r="AA35" s="6">
        <v>544</v>
      </c>
      <c r="AB35" s="6">
        <v>422</v>
      </c>
    </row>
    <row r="36" spans="1:28" ns3:dyDescent="0.2">
      <c r="A36" s="7"/>
      <c r="B36" s="8">
        <v>2010</v>
      </c>
      <c r="C36" s="4">
        <f t="shared" si="0"/>
        <v>49.054083780880816</v>
      </c>
      <c r="D36" s="4">
        <f t="shared" si="1"/>
        <v>25.827212316505552</v>
      </c>
      <c r="E36" s="4">
        <f t="shared" si="2"/>
        <v>43.897365556749008</v>
      </c>
      <c r="F36" s="4">
        <f t="shared" si="3"/>
        <v>33.118384532760508</v>
      </c>
      <c r="G36" s="4">
        <f t="shared" si="4"/>
        <v>33.610713927676329</v>
      </c>
      <c r="H36" s="4">
        <f t="shared" si="5"/>
        <v>54.961738274256987</v>
      </c>
      <c r="I36" s="4">
        <f t="shared" si="6"/>
        <v>95.329323308270688</v>
      </c>
      <c r="J36" s="4">
        <f t="shared" si="7"/>
        <v>112.68161224489795</v>
      </c>
      <c r="K36" s="4">
        <f t="shared" si="8"/>
        <v>135.85947010383097</v>
      </c>
      <c r="L36" s="4">
        <f t="shared" si="9"/>
        <v>110.63770175438604</v>
      </c>
      <c r="M36" s="4">
        <f t="shared" si="10"/>
        <v>189.607956000001</v>
      </c>
      <c r="N36" s="4">
        <f t="shared" si="11"/>
        <v>189.607956000001</v>
      </c>
      <c r="O36" s="5">
        <f t="shared" si="12"/>
        <v>1074.193517800217</v>
      </c>
      <c r="Q36" s="6">
        <v>73.075640040962696</v>
      </c>
      <c r="R36" s="6">
        <v>42.596964758125473</v>
      </c>
      <c r="S36" s="6">
        <v>65.393700930192864</v>
      </c>
      <c r="T36" s="6">
        <v>50.980846560846622</v>
      </c>
      <c r="U36" s="6">
        <v>50.069723928998123</v>
      </c>
      <c r="V36" s="6">
        <v>84.605453593474309</v>
      </c>
      <c r="W36" s="6">
        <v>142.01164874551975</v>
      </c>
      <c r="X36" s="6">
        <v>167.86127272145416</v>
      </c>
      <c r="Y36" s="6">
        <v>209.13552689594354</v>
      </c>
      <c r="Z36" s="6">
        <v>164.81646878733582</v>
      </c>
      <c r="AA36" s="6">
        <v>523.56312632275115</v>
      </c>
      <c r="AB36" s="6">
        <v>311.84394761264713</v>
      </c>
    </row>
    <row r="37" spans="1:28" ht="15" ns3:dyDescent="0.25">
      <c r="B37" s="1">
        <v>2011</v>
      </c>
      <c r="C37" s="6">
        <f>'[1]2011'!C4</f>
        <v>67.007400000000018</v>
      </c>
      <c r="D37" s="6">
        <f>'[1]2011'!D4</f>
        <v>33.693700000000078</v>
      </c>
      <c r="E37" s="6">
        <f>'[1]2011'!E4</f>
        <v>61.754800000000046</v>
      </c>
      <c r="F37" s="6">
        <f>'[1]2011'!F4</f>
        <v>58.139919999999996</v>
      </c>
      <c r="G37" s="6">
        <f>'[1]2011'!G4</f>
        <v>41.222000000000001</v>
      </c>
      <c r="H37" s="6">
        <f>'[1]2011'!H4</f>
        <v>134.8409</v>
      </c>
      <c r="I37" s="6">
        <f>'[1]2011'!I4</f>
        <v>138.4777</v>
      </c>
      <c r="J37" s="6">
        <f>'[1]2011'!J4</f>
        <v>165.65899999999999</v>
      </c>
      <c r="K37" s="6">
        <f>'[1]2011'!K4</f>
        <v>159.86539999999999</v>
      </c>
      <c r="L37" s="6">
        <f>'[1]2011'!L4</f>
        <v>186.99842699999999</v>
      </c>
      <c r="M37" s="6">
        <f>'[1]2011'!M4</f>
        <v>151.0607</v>
      </c>
      <c r="N37" s="6">
        <f>'[1]2011'!N4</f>
        <v>146.01929999999999</v>
      </c>
      <c r="O37" s="9">
        <f>SUM(C37:N37)</f>
        <v>1344.739247</v>
      </c>
      <c r="Q37" s="6">
        <v>102.52958002645522</v>
      </c>
      <c r="R37" s="6">
        <v>51.785294430271982</v>
      </c>
      <c r="S37" s="6">
        <v>95.840347648916222</v>
      </c>
      <c r="T37" s="6">
        <v>86.302944223985818</v>
      </c>
      <c r="U37" s="6">
        <v>63.986306856972021</v>
      </c>
      <c r="V37" s="6">
        <v>207.32219190917127</v>
      </c>
      <c r="W37" s="6">
        <v>206.37612220515447</v>
      </c>
      <c r="X37" s="6">
        <v>246.50640307646344</v>
      </c>
      <c r="Y37" s="6">
        <v>256.36646108906535</v>
      </c>
      <c r="Z37" s="6">
        <v>521.44681952978328</v>
      </c>
      <c r="AA37" s="6">
        <v>296.26386893738993</v>
      </c>
      <c r="AB37" s="6">
        <v>217.26831637224768</v>
      </c>
    </row>
    <row r="38" spans="1:28" ht="15" ns3:dyDescent="0.25">
      <c r="B38" s="1">
        <v>2012</v>
      </c>
      <c r="C38" s="6">
        <f>'[1]2012'!C4</f>
        <v>72.359699999999918</v>
      </c>
      <c r="D38" s="6">
        <f>'[1]2012'!D4</f>
        <v>54.996000000000002</v>
      </c>
      <c r="E38" s="6">
        <f>'[1]2012'!E4</f>
        <v>64.928100000000001</v>
      </c>
      <c r="F38" s="6">
        <f>'[1]2012'!F4</f>
        <v>85.383000000000095</v>
      </c>
      <c r="G38" s="6">
        <f>'[1]2012'!G4</f>
        <v>107.47929999999999</v>
      </c>
      <c r="H38" s="6">
        <f>'[1]2012'!H4</f>
        <v>71.381799999999842</v>
      </c>
      <c r="I38" s="6">
        <f>'[1]2012'!I4</f>
        <v>90.200800000000001</v>
      </c>
      <c r="J38" s="6">
        <f>'[1]2012'!J4</f>
        <v>89.815389999999994</v>
      </c>
      <c r="K38" s="6">
        <f>'[1]2012'!K4</f>
        <v>129.15731</v>
      </c>
      <c r="L38" s="6">
        <f>'[1]2012'!L4</f>
        <v>197.96340000000001</v>
      </c>
      <c r="M38" s="6">
        <f>'[1]2012'!M4</f>
        <v>126.4997</v>
      </c>
      <c r="N38" s="6">
        <f>'[1]2012'!N4</f>
        <v>60.75250000000004</v>
      </c>
      <c r="O38" s="10">
        <f t="shared" ref="O38:O51" si="13">SUM(C38:N38)</f>
        <v>1150.9169999999999</v>
      </c>
      <c r="Q38" s="6">
        <v>107.80450588837699</v>
      </c>
      <c r="R38" s="6">
        <v>88.781740216201243</v>
      </c>
      <c r="S38" s="6">
        <v>106.74732334869441</v>
      </c>
      <c r="T38" s="6">
        <v>139.19058366402078</v>
      </c>
      <c r="U38" s="6">
        <v>166.96087493599643</v>
      </c>
      <c r="V38" s="6">
        <v>117.49010714285684</v>
      </c>
      <c r="W38" s="6">
        <v>142.87829781106007</v>
      </c>
      <c r="X38" s="6">
        <v>138.94242906212671</v>
      </c>
      <c r="Y38" s="6">
        <v>215.86120590828926</v>
      </c>
      <c r="Z38" s="6">
        <v>396.08518219832735</v>
      </c>
      <c r="AA38" s="6">
        <v>198.77781889329799</v>
      </c>
      <c r="AB38" s="6">
        <v>100.21832853302611</v>
      </c>
    </row>
    <row r="39" spans="1:28" ht="15" ns3:dyDescent="0.25">
      <c r="B39" s="1">
        <v>2013</v>
      </c>
      <c r="C39" s="6">
        <f>'[1]2013'!C4</f>
        <v>40.030200000000015</v>
      </c>
      <c r="D39" s="6">
        <f>'[1]2013'!D4</f>
        <v>19.726500000000001</v>
      </c>
      <c r="E39" s="6">
        <f>'[1]2013'!E4</f>
        <v>37.599799999999988</v>
      </c>
      <c r="F39" s="6">
        <f>'[1]2013'!F4</f>
        <v>30.851000000000059</v>
      </c>
      <c r="G39" s="6">
        <f>'[1]2013'!G4</f>
        <v>48.609899999999961</v>
      </c>
      <c r="H39" s="6">
        <f>'[1]2013'!H4</f>
        <v>101.43201999999999</v>
      </c>
      <c r="I39" s="6">
        <f>'[1]2013'!I4</f>
        <v>131.56860000000009</v>
      </c>
      <c r="J39" s="6">
        <f>'[1]2013'!J4</f>
        <v>123.13280000000005</v>
      </c>
      <c r="K39" s="6">
        <f>'[1]2013'!K4</f>
        <v>101.00589999999991</v>
      </c>
      <c r="L39" s="6">
        <f>'[1]2013'!L4</f>
        <v>171.20660000000009</v>
      </c>
      <c r="M39" s="6">
        <f>'[1]2013'!M4</f>
        <v>137.92039999999992</v>
      </c>
      <c r="N39" s="6">
        <f>'[1]2013'!N4</f>
        <v>92.884300000000039</v>
      </c>
      <c r="O39" s="10">
        <f t="shared" si="13"/>
        <v>1035.96802</v>
      </c>
      <c r="Q39" s="6">
        <v>63.127122162485023</v>
      </c>
      <c r="R39" s="6">
        <v>43.621884684429475</v>
      </c>
      <c r="S39" s="6">
        <v>60.75331050520559</v>
      </c>
      <c r="T39" s="6">
        <v>56.528831018518559</v>
      </c>
      <c r="U39" s="6">
        <v>79.147663637139445</v>
      </c>
      <c r="V39" s="6">
        <v>159.44252854938259</v>
      </c>
      <c r="W39" s="6">
        <v>202.28723438300059</v>
      </c>
      <c r="X39" s="6">
        <v>193.73232430875589</v>
      </c>
      <c r="Y39" s="6">
        <v>247.08142636684292</v>
      </c>
      <c r="Z39" s="6">
        <v>397.59521836064187</v>
      </c>
      <c r="AA39" s="6">
        <v>242.35144257054662</v>
      </c>
      <c r="AB39" s="6">
        <v>141.83356086789553</v>
      </c>
    </row>
    <row r="40" spans="1:28" ht="15" ns3:dyDescent="0.25">
      <c r="B40" s="1">
        <v>2014</v>
      </c>
      <c r="C40" s="6">
        <f>'[1]2014'!C4</f>
        <v>57.855299999999936</v>
      </c>
      <c r="D40" s="6">
        <f>'[1]2014'!D4</f>
        <v>47.695400000000021</v>
      </c>
      <c r="E40" s="6">
        <f>'[1]2014'!E4</f>
        <v>58.585300000000046</v>
      </c>
      <c r="F40" s="6">
        <f>'[1]2014'!F4</f>
        <v>35.451799999999935</v>
      </c>
      <c r="G40" s="6">
        <f>'[1]2014'!G4</f>
        <v>47.9816</v>
      </c>
      <c r="H40" s="6">
        <f>'[1]2014'!H4</f>
        <v>79.421700000000058</v>
      </c>
      <c r="I40" s="6">
        <f>'[1]2014'!I4</f>
        <v>193.58380000000005</v>
      </c>
      <c r="J40" s="6">
        <f>'[1]2014'!J4</f>
        <v>187.19009999999986</v>
      </c>
      <c r="K40" s="6">
        <f>'[1]2014'!K4</f>
        <v>151.37049999999999</v>
      </c>
      <c r="L40" s="6">
        <f>'[1]2014'!L4</f>
        <v>156.67130000000006</v>
      </c>
      <c r="M40" s="6">
        <f>'[1]2014'!M4</f>
        <v>69.214499999999759</v>
      </c>
      <c r="N40" s="6">
        <f>'[1]2014'!N4</f>
        <v>59.488500000000002</v>
      </c>
      <c r="O40" s="10">
        <f t="shared" si="13"/>
        <v>1144.5097999999996</v>
      </c>
      <c r="Q40" s="6">
        <v>93.210677910052809</v>
      </c>
      <c r="R40" s="6">
        <v>85.132578184051411</v>
      </c>
      <c r="S40" s="6">
        <v>96.811324884792711</v>
      </c>
      <c r="T40" s="6">
        <v>61.1311642416225</v>
      </c>
      <c r="U40" s="6">
        <v>75.179119623655993</v>
      </c>
      <c r="V40" s="6">
        <v>132.88200782627877</v>
      </c>
      <c r="W40" s="6">
        <v>298.58465843147297</v>
      </c>
      <c r="X40" s="6">
        <v>310.1737245050349</v>
      </c>
      <c r="Y40" s="6">
        <v>254.12894609788364</v>
      </c>
      <c r="Z40" s="6">
        <v>239.04484745690414</v>
      </c>
      <c r="AA40" s="6">
        <v>111.36380731922345</v>
      </c>
      <c r="AB40" s="6">
        <v>98.869481886840703</v>
      </c>
    </row>
    <row r="41" spans="1:28" ht="15" ns3:dyDescent="0.25">
      <c r="B41" s="1">
        <v>2015</v>
      </c>
      <c r="C41" s="6">
        <f>'[1]2015'!C4</f>
        <v>49.948200000000185</v>
      </c>
      <c r="D41" s="6">
        <f>'[1]2015'!D4</f>
        <v>28.301700000000185</v>
      </c>
      <c r="E41" s="6">
        <f>'[1]2015'!E4</f>
        <v>35.698799999999814</v>
      </c>
      <c r="F41" s="6">
        <f>'[1]2015'!F4</f>
        <v>35.858400000000138</v>
      </c>
      <c r="G41" s="6">
        <f>'[1]2015'!G4</f>
        <v>34.967299999999817</v>
      </c>
      <c r="H41" s="6">
        <f>'[1]2015'!H4</f>
        <v>56.235633</v>
      </c>
      <c r="I41" s="6">
        <f>'[1]2015'!I4</f>
        <v>110.37619999999995</v>
      </c>
      <c r="J41" s="6">
        <f>'[1]2015'!J4</f>
        <v>119.47640000000014</v>
      </c>
      <c r="K41" s="6">
        <f>'[1]2015'!K4</f>
        <v>95.11</v>
      </c>
      <c r="L41" s="6">
        <f>'[1]2015'!L4</f>
        <v>71.211299999999824</v>
      </c>
      <c r="M41" s="6">
        <f>'[1]2015'!M4</f>
        <v>51.643500000000003</v>
      </c>
      <c r="N41" s="6">
        <f>'[1]2015'!N4</f>
        <v>47.109500000000232</v>
      </c>
      <c r="O41" s="10">
        <f t="shared" si="13"/>
        <v>735.93693300000029</v>
      </c>
      <c r="Q41" s="6">
        <v>76.865498165216209</v>
      </c>
      <c r="R41" s="6">
        <v>53.108223379629898</v>
      </c>
      <c r="S41" s="6">
        <v>58.292600486430885</v>
      </c>
      <c r="T41" s="6">
        <v>59.105111552028433</v>
      </c>
      <c r="U41" s="6">
        <v>58.009430683563444</v>
      </c>
      <c r="V41" s="6">
        <v>91.987962119708982</v>
      </c>
      <c r="W41" s="6">
        <v>170.74672533708821</v>
      </c>
      <c r="X41" s="6">
        <v>182.65645161290325</v>
      </c>
      <c r="Y41" s="6">
        <v>151.25768606701936</v>
      </c>
      <c r="Z41" s="6">
        <v>111.81286428998101</v>
      </c>
      <c r="AA41" s="6">
        <v>87.662924272486777</v>
      </c>
      <c r="AB41" s="6">
        <v>76.222091973886634</v>
      </c>
    </row>
    <row r="42" spans="1:28" ht="15" ns3:dyDescent="0.25">
      <c r="B42" s="1">
        <v>2016</v>
      </c>
      <c r="C42" s="6">
        <f>'[1]2016'!C4</f>
        <v>44.561899999999909</v>
      </c>
      <c r="D42" s="6">
        <f>'[1]2016'!D4</f>
        <v>24.298100000000094</v>
      </c>
      <c r="E42" s="6">
        <f>'[1]2016'!E4</f>
        <v>28.284299999999813</v>
      </c>
      <c r="F42" s="6">
        <f>'[1]2016'!F4</f>
        <v>27.128700000000187</v>
      </c>
      <c r="G42" s="6">
        <f>'[1]2016'!G4</f>
        <v>34.716699999999719</v>
      </c>
      <c r="H42" s="6">
        <f>'[1]2016'!H4</f>
        <v>54.870967000000284</v>
      </c>
      <c r="I42" s="6">
        <f>'[1]2016'!I4</f>
        <v>94.48197599999979</v>
      </c>
      <c r="J42" s="6">
        <f>'[1]2016'!J4</f>
        <v>101.94487800000003</v>
      </c>
      <c r="K42" s="6">
        <f>'[1]2016'!K4</f>
        <v>75.765530000000027</v>
      </c>
      <c r="L42" s="6">
        <f>'[1]2016'!L4</f>
        <v>156.29349900000005</v>
      </c>
      <c r="M42" s="6">
        <f>'[1]2016'!M4</f>
        <v>185.10087399999983</v>
      </c>
      <c r="N42" s="6">
        <f>'[1]2016'!N4</f>
        <v>195.29755300000031</v>
      </c>
      <c r="O42" s="10">
        <f t="shared" si="13"/>
        <v>1022.7449770000001</v>
      </c>
      <c r="Q42" s="6">
        <v>70.392357804232773</v>
      </c>
      <c r="R42" s="6">
        <v>43.48714390622137</v>
      </c>
      <c r="S42" s="6">
        <v>45.855622226488912</v>
      </c>
      <c r="T42" s="6">
        <v>47.572160714285879</v>
      </c>
      <c r="U42" s="6">
        <v>57.765901177675076</v>
      </c>
      <c r="V42" s="6">
        <v>91.753909611993421</v>
      </c>
      <c r="W42" s="6">
        <v>143.95738148574824</v>
      </c>
      <c r="X42" s="6">
        <v>155.5818294504183</v>
      </c>
      <c r="Y42" s="6">
        <v>123.9304475308643</v>
      </c>
      <c r="Z42" s="6">
        <v>235.81003872247788</v>
      </c>
      <c r="AA42" s="6">
        <v>504.52869808201115</v>
      </c>
      <c r="AB42" s="6">
        <v>439.25057870370404</v>
      </c>
    </row>
    <row r="43" spans="1:28" ht="15" ns3:dyDescent="0.25">
      <c r="B43" s="1">
        <v>2017</v>
      </c>
      <c r="C43" s="6">
        <f>'[1]2017'!C4</f>
        <v>147.31777</v>
      </c>
      <c r="D43" s="6">
        <f>'[1]2017'!D4</f>
        <v>84.774964999999852</v>
      </c>
      <c r="E43" s="6">
        <f>'[1]2017'!E4</f>
        <v>56.843450999999881</v>
      </c>
      <c r="F43" s="6">
        <f>'[1]2017'!F4</f>
        <v>71.933518000000149</v>
      </c>
      <c r="G43" s="6">
        <f>'[1]2017'!G4</f>
        <v>138.78362400000029</v>
      </c>
      <c r="H43" s="6">
        <f>'[1]2017'!H4</f>
        <v>184.92081999999942</v>
      </c>
      <c r="I43" s="6">
        <f>'[1]2017'!I4</f>
        <v>158.92538500000023</v>
      </c>
      <c r="J43" s="6">
        <f>'[1]2017'!J4</f>
        <v>166.84722599999978</v>
      </c>
      <c r="K43" s="6">
        <f>'[1]2017'!K4</f>
        <v>177.18828400000044</v>
      </c>
      <c r="L43" s="6">
        <f>'[1]2017'!L4</f>
        <v>183.54134299999942</v>
      </c>
      <c r="M43" s="6">
        <f>'[1]2017'!M4</f>
        <v>182.61075499999987</v>
      </c>
      <c r="N43" s="6">
        <f>'[1]2017'!N4</f>
        <v>189.60795600000071</v>
      </c>
      <c r="O43" s="11">
        <f t="shared" si="13"/>
        <v>1743.2950970000002</v>
      </c>
      <c r="Q43" s="6">
        <v>222.9105720899467</v>
      </c>
      <c r="R43" s="6">
        <v>147.19554253781448</v>
      </c>
      <c r="S43" s="6">
        <v>94.039587624147572</v>
      </c>
      <c r="T43" s="6">
        <v>119.32147926622083</v>
      </c>
      <c r="U43" s="6">
        <v>209.19463870065158</v>
      </c>
      <c r="V43" s="6">
        <v>293.85304291352065</v>
      </c>
      <c r="W43" s="6">
        <v>238.38863041901342</v>
      </c>
      <c r="X43" s="6">
        <v>264.46796945732115</v>
      </c>
      <c r="Y43" s="6">
        <v>278.70858376723453</v>
      </c>
      <c r="Z43" s="6">
        <v>306.82673069027692</v>
      </c>
      <c r="AA43" s="6">
        <v>394.47959347442736</v>
      </c>
      <c r="AB43" s="6">
        <v>417.73705879842902</v>
      </c>
    </row>
    <row r="44" spans="1:28" ht="15" ns3:dyDescent="0.25">
      <c r="B44" s="1">
        <v>2018</v>
      </c>
      <c r="C44" s="6">
        <f>'[1]2018'!C4</f>
        <v>125.761033</v>
      </c>
      <c r="D44" s="6">
        <f>'[1]2018'!D4</f>
        <v>63.206232999999536</v>
      </c>
      <c r="E44" s="6">
        <f>'[1]2018'!E4</f>
        <v>66.400333000000572</v>
      </c>
      <c r="F44" s="6">
        <f>'[1]2018'!F4</f>
        <v>59.581732999999538</v>
      </c>
      <c r="G44" s="6">
        <f>'[1]2018'!G4</f>
        <v>57.857050999999977</v>
      </c>
      <c r="H44" s="6">
        <f>'[1]2018'!H4</f>
        <v>71.134424000000777</v>
      </c>
      <c r="I44" s="6">
        <f>'[1]2018'!I4</f>
        <v>118.96295500000008</v>
      </c>
      <c r="J44" s="6">
        <f>'[1]2018'!J4</f>
        <v>141.01818399999897</v>
      </c>
      <c r="K44" s="6">
        <f>'[1]2018'!K4</f>
        <v>164.50247300000024</v>
      </c>
      <c r="L44" s="6">
        <f>'[1]2018'!L4</f>
        <v>147.82510400000001</v>
      </c>
      <c r="M44" s="6">
        <f>'[1]2018'!M4</f>
        <v>88.371788999999879</v>
      </c>
      <c r="N44" s="6">
        <f>'[1]2018'!N4</f>
        <v>114.598782</v>
      </c>
      <c r="O44" s="10">
        <f t="shared" si="13"/>
        <v>1219.2200939999996</v>
      </c>
      <c r="Q44" s="6">
        <v>195.88533986175187</v>
      </c>
      <c r="R44" s="6">
        <v>110.09903698979635</v>
      </c>
      <c r="S44" s="6">
        <v>109.62334672532553</v>
      </c>
      <c r="T44" s="6">
        <v>100.19695827360036</v>
      </c>
      <c r="U44" s="6">
        <v>88.834882765830486</v>
      </c>
      <c r="V44" s="6">
        <v>116.48197333478716</v>
      </c>
      <c r="W44" s="6">
        <v>182.10580965181762</v>
      </c>
      <c r="X44" s="6">
        <v>220.81792552056689</v>
      </c>
      <c r="Y44" s="6">
        <v>307.06589825837744</v>
      </c>
      <c r="Z44" s="6">
        <v>224.2887607740231</v>
      </c>
      <c r="AA44" s="6">
        <v>142.88117504409132</v>
      </c>
      <c r="AB44" s="6">
        <v>177.05547427035367</v>
      </c>
    </row>
    <row r="45" spans="1:28" ht="15" ns3:dyDescent="0.25">
      <c r="B45" s="1">
        <v>2019</v>
      </c>
      <c r="C45" s="6">
        <f>'[1]2019'!C4</f>
        <v>126.22684200000018</v>
      </c>
      <c r="D45" s="6">
        <f>'[1]2019'!D4</f>
        <v>48.35960799999954</v>
      </c>
      <c r="E45" s="6">
        <f>'[1]2019'!E4</f>
        <v>60.347191000000066</v>
      </c>
      <c r="F45" s="6">
        <f>'[1]2019'!F4</f>
        <v>47.448669000000223</v>
      </c>
      <c r="G45" s="6">
        <f>'[1]2019'!G4</f>
        <v>52.397391999999975</v>
      </c>
      <c r="H45" s="6">
        <f>'[1]2019'!H4</f>
        <v>60.510794999999924</v>
      </c>
      <c r="I45" s="6">
        <f>'[1]2019'!I4</f>
        <v>56.785311999999919</v>
      </c>
      <c r="J45" s="6">
        <f>'[1]2019'!J4</f>
        <v>151.60729500000039</v>
      </c>
      <c r="K45" s="6">
        <f>'[1]2019'!K4</f>
        <v>179.00042699999923</v>
      </c>
      <c r="L45" s="6">
        <f>'[1]2019'!L4</f>
        <v>139.15062599999999</v>
      </c>
      <c r="M45" s="6">
        <f>'[1]2019'!M4</f>
        <v>176.23853199999999</v>
      </c>
      <c r="N45" s="6">
        <f>'[1]2019'!N4</f>
        <v>85.396231000000611</v>
      </c>
      <c r="O45" s="10">
        <f t="shared" si="13"/>
        <v>1183.46892</v>
      </c>
      <c r="Q45" s="6">
        <v>191.71425485577777</v>
      </c>
      <c r="R45" s="6">
        <v>85.032031203459837</v>
      </c>
      <c r="S45" s="6">
        <v>95.812717027221908</v>
      </c>
      <c r="T45" s="6">
        <v>79.890779935467208</v>
      </c>
      <c r="U45" s="6">
        <v>79.719896206690436</v>
      </c>
      <c r="V45" s="6">
        <v>98.342429397057629</v>
      </c>
      <c r="W45" s="6">
        <v>83.888467505071617</v>
      </c>
      <c r="X45" s="6">
        <v>228.90794102001314</v>
      </c>
      <c r="Y45" s="6">
        <v>279.39415564373883</v>
      </c>
      <c r="Z45" s="6">
        <v>207.80494858337619</v>
      </c>
      <c r="AA45" s="6">
        <v>361.99018960768484</v>
      </c>
      <c r="AB45" s="6">
        <v>130.82224249018637</v>
      </c>
    </row>
    <row r="46" spans="1:28" ht="15" ns3:dyDescent="0.25">
      <c r="B46" s="1">
        <v>2020</v>
      </c>
      <c r="C46" s="6">
        <f>'[1]2020'!C4</f>
        <v>52.160716999999245</v>
      </c>
      <c r="D46" s="6">
        <f>'[1]2020'!D4</f>
        <v>38.226069000001068</v>
      </c>
      <c r="E46" s="6">
        <f>'[1]2020'!E4</f>
        <v>44.340092999999413</v>
      </c>
      <c r="F46" s="6">
        <f>'[1]2020'!F4</f>
        <v>29.286831000001168</v>
      </c>
      <c r="G46" s="6">
        <f>'[1]2020'!G4</f>
        <v>28.976669999999999</v>
      </c>
      <c r="H46" s="6">
        <f>'[1]2020'!H4</f>
        <v>75.012167999999605</v>
      </c>
      <c r="I46" s="6">
        <f>'[1]2020'!I4</f>
        <v>99.726883000000001</v>
      </c>
      <c r="J46" s="6">
        <f>'[1]2020'!J4</f>
        <v>195.32551900000007</v>
      </c>
      <c r="K46" s="6">
        <f>'[1]2020'!K4</f>
        <v>179.58833199999947</v>
      </c>
      <c r="L46" s="6">
        <f>'[1]2020'!L4</f>
        <v>193.41799200000031</v>
      </c>
      <c r="M46" s="6">
        <f>'[1]2020'!M4</f>
        <v>189.00704200000013</v>
      </c>
      <c r="N46" s="6">
        <f>'[1]2020'!N4</f>
        <v>202.91342899999952</v>
      </c>
      <c r="O46" s="10">
        <f t="shared" si="13"/>
        <v>1327.981745</v>
      </c>
      <c r="Q46" s="6">
        <v>81.947953062803563</v>
      </c>
      <c r="R46" s="6">
        <v>71.063773772261356</v>
      </c>
      <c r="S46" s="6">
        <v>76.290331182795697</v>
      </c>
      <c r="T46" s="6">
        <v>51.970844444444445</v>
      </c>
      <c r="U46" s="6">
        <v>54.088725806451606</v>
      </c>
      <c r="V46" s="6">
        <v>114.60418777777777</v>
      </c>
      <c r="W46" s="6">
        <v>152.08065698924733</v>
      </c>
      <c r="X46" s="6">
        <v>294.6357666666666</v>
      </c>
      <c r="Y46" s="6">
        <v>281.70280111111111</v>
      </c>
      <c r="Z46" s="6">
        <v>305.00406129032251</v>
      </c>
      <c r="AA46" s="6">
        <v>375.0722422222222</v>
      </c>
      <c r="AB46" s="6">
        <v>478.93006666666662</v>
      </c>
    </row>
    <row r="47" spans="1:28" ht="15" ns3:dyDescent="0.25">
      <c r="B47" s="1">
        <v>2021</v>
      </c>
      <c r="C47" s="6">
        <f>'[1]2021'!C4</f>
        <v>110.36860699999997</v>
      </c>
      <c r="D47" s="6">
        <f>'[1]2021'!D4</f>
        <v>61.981315000000762</v>
      </c>
      <c r="E47" s="6">
        <f>'[1]2021'!E4</f>
        <v>61.426696999999223</v>
      </c>
      <c r="F47" s="6">
        <f>'[1]2021'!F4</f>
        <v>46.831182000000027</v>
      </c>
      <c r="G47" s="6">
        <f>'[1]2021'!G4</f>
        <v>53.630072999999967</v>
      </c>
      <c r="H47" s="6">
        <f>'[1]2021'!H4</f>
        <v>49.802541000000204</v>
      </c>
      <c r="I47" s="6">
        <f>'[1]2021'!I4</f>
        <v>81.105309000000133</v>
      </c>
      <c r="J47" s="6">
        <f>'[1]2021'!J4</f>
        <v>86.7923049999997</v>
      </c>
      <c r="K47" s="6">
        <f>'[1]2021'!K4</f>
        <v>166.61844500000123</v>
      </c>
      <c r="L47" s="6">
        <f>'[1]2021'!L4</f>
        <v>192.76609399999921</v>
      </c>
      <c r="M47" s="6">
        <f>'[1]2021'!M4</f>
        <v>192.90018000000086</v>
      </c>
      <c r="N47" s="6">
        <f>'[1]2021'!N4</f>
        <v>181.47385199999974</v>
      </c>
      <c r="O47" s="10">
        <f t="shared" si="13"/>
        <v>1285.6966000000011</v>
      </c>
      <c r="Q47" s="6">
        <v>168.78631505376339</v>
      </c>
      <c r="R47" s="6">
        <v>109.25753690476191</v>
      </c>
      <c r="S47" s="6">
        <v>96.941623460410582</v>
      </c>
      <c r="T47" s="6">
        <v>78.852806666666694</v>
      </c>
      <c r="U47" s="6">
        <v>82.61294193548386</v>
      </c>
      <c r="V47" s="6">
        <v>81.090311111111134</v>
      </c>
      <c r="W47" s="6">
        <v>124.71106451612899</v>
      </c>
      <c r="X47" s="6">
        <v>133.48928387096774</v>
      </c>
      <c r="Y47" s="6">
        <v>267.21808888888881</v>
      </c>
      <c r="Z47" s="6">
        <v>385.27039569892474</v>
      </c>
      <c r="AA47" s="6">
        <v>536.5333333333333</v>
      </c>
      <c r="AB47" s="6">
        <v>429.99193548387098</v>
      </c>
    </row>
    <row r="48" spans="1:28" ht="15" ns3:dyDescent="0.25">
      <c r="B48" s="1">
        <v>2022</v>
      </c>
      <c r="C48" s="6">
        <f>'[1]2022'!C4</f>
        <v>122.50594479999999</v>
      </c>
      <c r="D48" s="6">
        <f>'[1]2022'!D4</f>
        <v>66.919390800000002</v>
      </c>
      <c r="E48" s="6">
        <f>'[1]2022'!E4</f>
        <v>74.536053599999988</v>
      </c>
      <c r="F48" s="6">
        <f>'[1]2022'!F4</f>
        <v>71.592840899999985</v>
      </c>
      <c r="G48" s="6">
        <f>'[1]2022'!G4</f>
        <v>110.182541</v>
      </c>
      <c r="H48" s="6">
        <f>'[1]2022'!H4</f>
        <v>115.54800859999999</v>
      </c>
      <c r="I48" s="6">
        <f>'[1]2022'!I4</f>
        <v>163.9011251</v>
      </c>
      <c r="J48" s="6">
        <f>'[1]2022'!J4</f>
        <v>194.26107150000001</v>
      </c>
      <c r="K48" s="6">
        <f>'[1]2022'!K4</f>
        <v>193.2066274</v>
      </c>
      <c r="L48" s="6">
        <f>'[1]2022'!L4</f>
        <v>196.85656800000001</v>
      </c>
      <c r="M48" s="6">
        <f>'[1]2022'!M4</f>
        <v>168.38218649999999</v>
      </c>
      <c r="N48" s="6">
        <f>'[1]2022'!N4</f>
        <v>153.6295523</v>
      </c>
      <c r="O48" s="11">
        <f t="shared" si="13"/>
        <v>1631.5219105000001</v>
      </c>
      <c r="Q48" s="6">
        <v>187.2446247311828</v>
      </c>
      <c r="R48" s="6">
        <v>117.53720238095241</v>
      </c>
      <c r="S48" s="6">
        <v>117.4314516129032</v>
      </c>
      <c r="T48" s="6">
        <v>116.60138888888886</v>
      </c>
      <c r="U48" s="6">
        <v>165.90059139784947</v>
      </c>
      <c r="V48" s="6">
        <v>183.66533333333336</v>
      </c>
      <c r="W48" s="6">
        <v>245.81182795698922</v>
      </c>
      <c r="X48" s="6">
        <v>326.14773059606307</v>
      </c>
      <c r="Y48" s="6">
        <v>344.36882689553721</v>
      </c>
      <c r="Z48" s="6">
        <v>375.59049832896477</v>
      </c>
      <c r="AA48" s="6">
        <v>269.2693534675721</v>
      </c>
      <c r="AB48" s="6">
        <v>234.77126807868515</v>
      </c>
    </row>
    <row r="49" spans="2:28" ht="15" ns3:dyDescent="0.25">
      <c r="B49" s="1">
        <v>2023</v>
      </c>
      <c r="C49" s="6">
        <f>'[1]2023'!C4</f>
        <v>113.1354312</v>
      </c>
      <c r="D49" s="6">
        <f>'[1]2023'!D4</f>
        <v>71.298942100000005</v>
      </c>
      <c r="E49" s="6">
        <f>'[1]2023'!E4</f>
        <v>70.493765299999993</v>
      </c>
      <c r="F49" s="6">
        <f>'[1]2023'!F4</f>
        <v>62.217610000000001</v>
      </c>
      <c r="G49" s="6">
        <f>'[1]2023'!G4</f>
        <v>43.759362299999999</v>
      </c>
      <c r="H49" s="6">
        <f>'[1]2023'!H4</f>
        <v>86.330209300000007</v>
      </c>
      <c r="I49" s="6">
        <f>'[1]2023'!I4</f>
        <v>141.6702884</v>
      </c>
      <c r="J49" s="6">
        <f>'[1]2023'!J4</f>
        <v>165.03639799999999</v>
      </c>
      <c r="K49" s="6">
        <f>'[1]2023'!K4</f>
        <v>195.23754399999999</v>
      </c>
      <c r="L49" s="6">
        <f>'[1]2023'!L4</f>
        <v>198.50973879999998</v>
      </c>
      <c r="M49" s="6">
        <f>'[1]2023'!M4</f>
        <v>163.315517</v>
      </c>
      <c r="N49" s="6">
        <f>'[1]2023'!N4</f>
        <v>125.9698503</v>
      </c>
      <c r="O49" s="10">
        <f t="shared" si="13"/>
        <v>1436.9746567</v>
      </c>
      <c r="Q49" s="6">
        <v>174.73765561284768</v>
      </c>
      <c r="R49" s="6">
        <v>127.35625488144804</v>
      </c>
      <c r="S49" s="6">
        <v>108.60906275246862</v>
      </c>
      <c r="T49" s="6">
        <v>105.01789714709945</v>
      </c>
      <c r="U49" s="6">
        <v>64.385454002305039</v>
      </c>
      <c r="V49" s="6">
        <v>133.54334259243078</v>
      </c>
      <c r="W49" s="6">
        <v>220.71516721864697</v>
      </c>
      <c r="X49" s="6">
        <v>263.93816451612906</v>
      </c>
      <c r="Y49" s="6">
        <v>392.73611333333332</v>
      </c>
      <c r="Z49" s="6">
        <v>340.18951290322582</v>
      </c>
      <c r="AA49" s="6">
        <v>273.68054666666671</v>
      </c>
      <c r="AB49" s="6">
        <v>195.77149354838716</v>
      </c>
    </row>
    <row r="50" spans="2:28" ht="15" ns3:dyDescent="0.25">
      <c r="B50" s="1">
        <v>2024</v>
      </c>
      <c r="C50" s="6">
        <f>'[1]2024'!C4</f>
        <v>73.596486099999993</v>
      </c>
      <c r="D50" s="6">
        <f>'[1]2024'!D4</f>
        <v>42.832670400000005</v>
      </c>
      <c r="E50" s="6">
        <f>'[1]2024'!E4</f>
        <v>35.955296799999999</v>
      </c>
      <c r="F50" s="6">
        <f>'[1]2024'!F4</f>
        <v>35.971539700000001</v>
      </c>
      <c r="G50" s="6">
        <f>'[1]2024'!G4</f>
        <v>54.107530500000003</v>
      </c>
      <c r="H50" s="6">
        <f>'[1]2024'!H4</f>
        <v>76.060693000000001</v>
      </c>
      <c r="I50" s="6">
        <f>'[1]2024'!I4</f>
        <v>135.68690319999999</v>
      </c>
      <c r="J50" s="6">
        <f>'[1]2024'!J4</f>
        <v>176.95260999999999</v>
      </c>
      <c r="K50" s="6">
        <f>'[1]2024'!K4</f>
        <v>179.47948259999998</v>
      </c>
      <c r="L50" s="6">
        <f>'[1]2024'!L4</f>
        <v>185.35782839999999</v>
      </c>
      <c r="M50" s="6">
        <f>'[1]2024'!M4</f>
        <v>134.72737609999999</v>
      </c>
      <c r="N50" s="6">
        <f>'[1]2024'!N4</f>
        <v>137.06628800000001</v>
      </c>
      <c r="O50" s="10">
        <f t="shared" si="13"/>
        <v>1267.7947047999999</v>
      </c>
      <c r="Q50" s="6">
        <v>113.54301290322583</v>
      </c>
      <c r="R50" s="6">
        <v>75.31177586206897</v>
      </c>
      <c r="S50" s="6">
        <v>59.8763516129032</v>
      </c>
      <c r="T50" s="6">
        <v>62.27</v>
      </c>
      <c r="U50" s="6">
        <v>78.919354838709694</v>
      </c>
      <c r="V50" s="6">
        <v>118.23888333333333</v>
      </c>
      <c r="W50" s="6">
        <v>206.36828387096773</v>
      </c>
      <c r="X50" s="6">
        <v>267.68945161290327</v>
      </c>
      <c r="Y50" s="6">
        <v>326.01</v>
      </c>
      <c r="Z50" s="6">
        <v>290.95294838709685</v>
      </c>
      <c r="AA50" s="6">
        <v>227.44</v>
      </c>
      <c r="AB50" s="6">
        <v>220.07123870967743</v>
      </c>
    </row>
    <row r="51" spans="2:28" ht="15" ns3:dyDescent="0.25">
      <c r="B51" s="12">
        <v>2025</v>
      </c>
      <c r="C51" s="6">
        <v>112.1219277</v>
      </c>
      <c r="D51" s="6">
        <v>57.954394999999998</v>
      </c>
      <c r="E51" s="6">
        <v>63.468082199999998</v>
      </c>
      <c r="F51" s="6">
        <v>53.9780053</v>
      </c>
      <c r="G51" s="6">
        <v>82.254511300000004</v>
      </c>
      <c r="H51" s="6">
        <v>130.41091829999999</v>
      </c>
      <c r="I51" s="6">
        <v>130.67553519999998</v>
      </c>
      <c r="J51" s="6">
        <v>144.11043119999999</v>
      </c>
      <c r="K51" s="6">
        <v>186.0461335</v>
      </c>
      <c r="L51" s="6">
        <v>192.94677809999999</v>
      </c>
      <c r="M51" s="6">
        <v>172.11458350000001</v>
      </c>
      <c r="N51" s="6">
        <v>195.31693429999999</v>
      </c>
      <c r="O51" s="11">
        <f t="shared" si="13"/>
        <v>1521.3982355999999</v>
      </c>
      <c r="P51" s="3"/>
      <c r="Q51" s="6">
        <v>174.48520645161292</v>
      </c>
      <c r="R51" s="6">
        <v>101.86</v>
      </c>
      <c r="S51" s="6">
        <v>105.43413870967743</v>
      </c>
      <c r="T51" s="6">
        <v>95.85138666666667</v>
      </c>
      <c r="U51" s="6">
        <v>140.30000000000001</v>
      </c>
      <c r="V51" s="6">
        <v>223.40139666666664</v>
      </c>
      <c r="W51" s="6">
        <v>216.40994193548391</v>
      </c>
      <c r="X51" s="6">
        <v>236.06856129032252</v>
      </c>
      <c r="Y51" s="6">
        <v>363.04999666666669</v>
      </c>
      <c r="Z51" s="6">
        <v>389.42070000000001</v>
      </c>
      <c r="AA51" s="6">
        <v>987.00277333333327</v>
      </c>
      <c r="AB51" s="6">
        <v>436.70027419354835</v>
      </c>
    </row>
    <row r="52" spans="2:28" ht="15" ns3:dyDescent="0.25">
      <c r="B52" s="1">
        <v>2026</v>
      </c>
      <c r="C52" s="6">
        <v>103.24910490000001</v>
      </c>
      <c r="D52" s="6">
        <v>57.568962500000005</v>
      </c>
      <c r="E52" s="6">
        <v>59.992719399999999</v>
      </c>
      <c r="F52" s="6">
        <v>44.5033636</v>
      </c>
      <c r="G52" s="6">
        <v>47.318828000000003</v>
      </c>
      <c r="H52" s="6">
        <v>64.155334400000001</v>
      </c>
      <c r="I52" s="6">
        <v>57.310720400000001</v>
      </c>
      <c r="J52" s="6">
        <v>78.361976499999997</v>
      </c>
      <c r="K52" s="6">
        <v>159.874</v>
      </c>
      <c r="L52" s="6" t="n">
        <v>83.5827994</v>
      </c>
      <c r="M52" s="6"/>
      <c r="N52" s="6"/>
      <c r="O52" s="11"/>
      <c r="P52" s="3"/>
      <c r="Q52" s="6">
        <v>172.51</v>
      </c>
      <c r="R52" s="6">
        <v>111.5</v>
      </c>
      <c r="S52" s="6">
        <v>107.23</v>
      </c>
      <c r="T52" s="6">
        <v>88.75</v>
      </c>
      <c r="U52" s="6">
        <v>89.31</v>
      </c>
      <c r="V52" s="6">
        <v>117.74</v>
      </c>
      <c r="W52" s="6">
        <v>104.15</v>
      </c>
      <c r="X52" s="6">
        <v>135.83000000000001</v>
      </c>
      <c r="Y52" s="6">
        <v>272.60000000000002</v>
      </c>
      <c r="Z52" s="6" t="n">
        <v>332.23</v>
      </c>
    </row>
    <row r="53" spans="2:28" ht="15" ns3:dyDescent="0.25">
      <c r="B53" s="12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11"/>
      <c r="P53" s="3"/>
    </row>
    <row r="54" spans="2:28" ht="15" ns3:dyDescent="0.25">
      <c r="B54" s="12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11"/>
      <c r="P54" s="3"/>
    </row>
    <row r="55" spans="2:28" ht="15" ns3:dyDescent="0.25">
      <c r="B55" s="2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4"/>
      <c r="P55" s="3"/>
    </row>
    <row r="56" spans="2:28" ht="15" ns3:dyDescent="0.25">
      <c r="B56" s="24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14"/>
    </row>
    <row r="58" spans="2:28" ht="15" ns3:dyDescent="0.25">
      <c r="B58" s="25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6"/>
      <c r="P58" s="3"/>
    </row>
    <row r="59" spans="2:28" ns3:dyDescent="0.2">
      <c r="B59" s="2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28" ns3:dyDescent="0.2"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3"/>
    </row>
    <row r="61" spans="2:28" ns3:dyDescent="0.2">
      <c r="O61" s="16"/>
    </row>
    <row r="62" spans="2:28" ns3:dyDescent="0.2">
      <c r="O62" s="16"/>
    </row>
    <row r="63" spans="2:28" ns3:dyDescent="0.2">
      <c r="O63" s="17"/>
    </row>
    <row r="68" spans="14:16" ht="15.75" ns3:dyDescent="0.2">
      <c r="N68" s="18"/>
      <c r="O68" s="18"/>
    </row>
    <row r="69" spans="14:16" ht="15.75" ns3:dyDescent="0.2">
      <c r="N69" s="19"/>
      <c r="O69" s="18"/>
      <c r="P69" s="17"/>
    </row>
    <row r="70" spans="14:16" ht="15.75" ns3:dyDescent="0.2">
      <c r="N70" s="20"/>
      <c r="O70" s="18"/>
      <c r="P70" s="17"/>
    </row>
    <row r="71" spans="14:16" ht="15.75" ns3:dyDescent="0.2">
      <c r="N71" s="21"/>
      <c r="O71" s="18"/>
      <c r="P71" s="17"/>
    </row>
  </sheetData>
  <mergeCells count="3">
    <mergeCell ref="Q1:AB1"/>
    <mergeCell ref="B55:B56"/>
    <mergeCell ref="B58:B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2BBA-AEA9-4633-89D3-00BE859CCF2D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Ky Hai</dc:creator>
  <cp:lastModifiedBy>Le Xuan Anh Minh</cp:lastModifiedBy>
  <dcterms:created xsi:type="dcterms:W3CDTF">2026-07-10T01:55:16Z</dcterms:created>
  <dcterms:modified xsi:type="dcterms:W3CDTF">2026-10-14T03:44:52Z</dcterms:modified>
</cp:coreProperties>
</file>
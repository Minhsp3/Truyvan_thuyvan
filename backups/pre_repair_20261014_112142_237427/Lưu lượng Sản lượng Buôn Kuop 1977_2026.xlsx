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280" tabRatio="600" firstSheet="0" activeTab="0" autoFilterDateGrouping="1"/>
  </bookViews>
  <sheets>
    <sheet name="BK" sheetId="1" state="visible" r:id="rId1"/>
    <sheet name="Sheet1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(* #,##0.0_);_(* \(#,##0.0\);_(* &quot;-&quot;??_);_(@_)"/>
    <numFmt numFmtId="166" formatCode="_(* #,##0.0_);_(* \(#,##0.0\);_(* &quot;-&quot;?_);_(@_)"/>
  </numFmts>
  <fonts count="13"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FF0000"/>
      <sz val="11"/>
      <scheme val="minor"/>
    </font>
    <font>
      <name val="Arial"/>
      <family val="2"/>
      <color rgb="FF000099"/>
      <sz val="11"/>
      <scheme val="minor"/>
    </font>
    <font>
      <name val="Arial"/>
      <family val="2"/>
      <sz val="11"/>
      <scheme val="minor"/>
    </font>
    <font>
      <name val="Arial"/>
      <family val="2"/>
      <b val="1"/>
      <sz val="11"/>
      <scheme val="minor"/>
    </font>
    <font>
      <name val="Arial"/>
      <family val="2"/>
      <b val="1"/>
      <color rgb="FF000099"/>
      <sz val="11"/>
      <scheme val="minor"/>
    </font>
    <font>
      <name val="Times New Roman"/>
      <family val="1"/>
      <b val="1"/>
      <color rgb="FF000000"/>
      <sz val="12"/>
    </font>
    <font>
      <name val="Times New Roman"/>
      <family val="1"/>
      <b val="1"/>
      <color rgb="FF843C0C"/>
      <sz val="12"/>
    </font>
    <font>
      <name val="Times New Roman"/>
      <family val="1"/>
      <b val="1"/>
      <color rgb="FF00B050"/>
      <sz val="12"/>
    </font>
    <font>
      <name val="Times New Roman"/>
      <family val="1"/>
      <b val="1"/>
      <color rgb="FFEE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4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0" fillId="0" borderId="0" pivotButton="0" quotePrefix="1" xfId="0"/>
    <xf numFmtId="164" fontId="5" fillId="0" borderId="0" pivotButton="0" quotePrefix="0" xfId="0"/>
    <xf numFmtId="165" fontId="5" fillId="0" borderId="0" applyAlignment="1" pivotButton="0" quotePrefix="0" xfId="1">
      <alignment horizontal="right"/>
    </xf>
    <xf numFmtId="164" fontId="0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165" fontId="6" fillId="0" borderId="0" pivotButton="0" quotePrefix="0" xfId="1"/>
    <xf numFmtId="165" fontId="0" fillId="0" borderId="0" pivotButton="0" quotePrefix="0" xfId="1"/>
    <xf numFmtId="165" fontId="2" fillId="0" borderId="0" pivotButton="0" quotePrefix="0" xfId="1"/>
    <xf numFmtId="0" fontId="7" fillId="0" borderId="0" pivotButton="0" quotePrefix="0" xfId="0"/>
    <xf numFmtId="164" fontId="8" fillId="0" borderId="0" pivotButton="0" quotePrefix="0" xfId="0"/>
    <xf numFmtId="165" fontId="8" fillId="0" borderId="0" pivotButton="0" quotePrefix="0" xfId="1"/>
    <xf numFmtId="164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9" fillId="0" borderId="0" applyAlignment="1" pivotButton="0" quotePrefix="0" xfId="1">
      <alignment vertical="center" wrapText="1"/>
    </xf>
    <xf numFmtId="165" fontId="10" fillId="0" borderId="0" applyAlignment="1" pivotButton="0" quotePrefix="0" xfId="1">
      <alignment vertical="center" wrapText="1"/>
    </xf>
    <xf numFmtId="165" fontId="11" fillId="0" borderId="0" applyAlignment="1" pivotButton="0" quotePrefix="0" xfId="1">
      <alignment vertical="center" wrapText="1"/>
    </xf>
    <xf numFmtId="165" fontId="12" fillId="0" borderId="0" applyAlignment="1" pivotButton="0" quotePrefix="0" xfId="1">
      <alignment vertical="center" wrapText="1"/>
    </xf>
    <xf numFmtId="0" fontId="4" fillId="0" borderId="0" applyAlignment="1" pivotButton="0" quotePrefix="1" xfId="0">
      <alignment horizont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5" fillId="0" borderId="0" pivotButton="0" quotePrefix="0" xfId="0"/>
    <xf numFmtId="165" fontId="5" fillId="0" borderId="0" applyAlignment="1" pivotButton="0" quotePrefix="0" xfId="1">
      <alignment horizontal="right"/>
    </xf>
    <xf numFmtId="164" fontId="0" fillId="0" borderId="0" pivotButton="0" quotePrefix="0" xfId="0"/>
    <xf numFmtId="165" fontId="6" fillId="0" borderId="0" pivotButton="0" quotePrefix="0" xfId="1"/>
    <xf numFmtId="165" fontId="0" fillId="0" borderId="0" pivotButton="0" quotePrefix="0" xfId="1"/>
    <xf numFmtId="165" fontId="2" fillId="0" borderId="0" pivotButton="0" quotePrefix="0" xfId="1"/>
    <xf numFmtId="164" fontId="8" fillId="0" borderId="0" pivotButton="0" quotePrefix="0" xfId="0"/>
    <xf numFmtId="165" fontId="8" fillId="0" borderId="0" pivotButton="0" quotePrefix="0" xfId="1"/>
    <xf numFmtId="164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9" fillId="0" borderId="0" applyAlignment="1" pivotButton="0" quotePrefix="0" xfId="1">
      <alignment vertical="center" wrapText="1"/>
    </xf>
    <xf numFmtId="165" fontId="10" fillId="0" borderId="0" applyAlignment="1" pivotButton="0" quotePrefix="0" xfId="1">
      <alignment vertical="center" wrapText="1"/>
    </xf>
    <xf numFmtId="165" fontId="11" fillId="0" borderId="0" applyAlignment="1" pivotButton="0" quotePrefix="0" xfId="1">
      <alignment vertical="center" wrapText="1"/>
    </xf>
    <xf numFmtId="165" fontId="12" fillId="0" borderId="0" applyAlignment="1" pivotButton="0" quotePrefix="0" xfId="1">
      <alignment vertical="center" wrapText="1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BTS"/>
      <sheetName val="SP3"/>
      <sheetName val="BK"/>
      <sheetName val="Gộp"/>
      <sheetName val="Sheet1"/>
      <sheetName val="Sheet2"/>
    </sheetNames>
    <sheetDataSet>
      <sheetData sheetId="0">
        <row r="3">
          <cell r="C3">
            <v>20.360220000000009</v>
          </cell>
        </row>
        <row r="4">
          <cell r="C4">
            <v>67.007400000000018</v>
          </cell>
          <cell r="D4">
            <v>33.693700000000078</v>
          </cell>
          <cell r="E4">
            <v>61.754800000000046</v>
          </cell>
          <cell r="F4">
            <v>58.139919999999996</v>
          </cell>
          <cell r="G4">
            <v>41.222000000000001</v>
          </cell>
          <cell r="H4">
            <v>134.8409</v>
          </cell>
          <cell r="I4">
            <v>138.4777</v>
          </cell>
          <cell r="J4">
            <v>165.65899999999999</v>
          </cell>
          <cell r="K4">
            <v>159.86539999999999</v>
          </cell>
          <cell r="L4">
            <v>186.99842699999999</v>
          </cell>
          <cell r="M4">
            <v>151.0607</v>
          </cell>
          <cell r="N4">
            <v>146.01929999999999</v>
          </cell>
        </row>
      </sheetData>
      <sheetData sheetId="1">
        <row r="3">
          <cell r="C3">
            <v>17.593199999999996</v>
          </cell>
        </row>
        <row r="4">
          <cell r="C4">
            <v>72.359699999999918</v>
          </cell>
          <cell r="D4">
            <v>54.996000000000002</v>
          </cell>
          <cell r="E4">
            <v>64.928100000000001</v>
          </cell>
          <cell r="F4">
            <v>85.383000000000095</v>
          </cell>
          <cell r="G4">
            <v>107.47929999999999</v>
          </cell>
          <cell r="H4">
            <v>71.381799999999842</v>
          </cell>
          <cell r="I4">
            <v>90.200800000000001</v>
          </cell>
          <cell r="J4">
            <v>89.815389999999994</v>
          </cell>
          <cell r="K4">
            <v>129.15731</v>
          </cell>
          <cell r="L4">
            <v>197.96340000000001</v>
          </cell>
          <cell r="M4">
            <v>126.4997</v>
          </cell>
          <cell r="N4">
            <v>60.75250000000004</v>
          </cell>
        </row>
      </sheetData>
      <sheetData sheetId="2">
        <row r="3">
          <cell r="C3">
            <v>14.871199999999954</v>
          </cell>
        </row>
        <row r="4">
          <cell r="C4">
            <v>40.030200000000015</v>
          </cell>
          <cell r="D4">
            <v>19.726500000000001</v>
          </cell>
          <cell r="E4">
            <v>37.599799999999988</v>
          </cell>
          <cell r="F4">
            <v>30.851000000000059</v>
          </cell>
          <cell r="G4">
            <v>48.609899999999961</v>
          </cell>
          <cell r="H4">
            <v>101.43201999999999</v>
          </cell>
          <cell r="I4">
            <v>131.56860000000009</v>
          </cell>
          <cell r="J4">
            <v>123.13280000000005</v>
          </cell>
          <cell r="K4">
            <v>101.00589999999991</v>
          </cell>
          <cell r="L4">
            <v>171.20660000000009</v>
          </cell>
          <cell r="M4">
            <v>137.92039999999992</v>
          </cell>
          <cell r="N4">
            <v>92.884300000000039</v>
          </cell>
        </row>
      </sheetData>
      <sheetData sheetId="3">
        <row r="3">
          <cell r="C3">
            <v>25.792999999999999</v>
          </cell>
        </row>
        <row r="4">
          <cell r="C4">
            <v>57.855299999999936</v>
          </cell>
          <cell r="D4">
            <v>47.695400000000021</v>
          </cell>
          <cell r="E4">
            <v>58.585300000000046</v>
          </cell>
          <cell r="F4">
            <v>35.451799999999935</v>
          </cell>
          <cell r="G4">
            <v>47.9816</v>
          </cell>
          <cell r="H4">
            <v>79.421700000000058</v>
          </cell>
          <cell r="I4">
            <v>193.58380000000005</v>
          </cell>
          <cell r="J4">
            <v>187.19009999999986</v>
          </cell>
          <cell r="K4">
            <v>151.37049999999999</v>
          </cell>
          <cell r="L4">
            <v>156.67130000000006</v>
          </cell>
          <cell r="M4">
            <v>69.214499999999759</v>
          </cell>
          <cell r="N4">
            <v>59.488500000000002</v>
          </cell>
        </row>
      </sheetData>
      <sheetData sheetId="4">
        <row r="3">
          <cell r="C3">
            <v>19.655700000000071</v>
          </cell>
        </row>
        <row r="4">
          <cell r="C4">
            <v>49.948200000000185</v>
          </cell>
          <cell r="D4">
            <v>28.301700000000185</v>
          </cell>
          <cell r="E4">
            <v>35.698799999999814</v>
          </cell>
          <cell r="F4">
            <v>35.858400000000138</v>
          </cell>
          <cell r="G4">
            <v>34.967299999999817</v>
          </cell>
          <cell r="H4">
            <v>56.235633</v>
          </cell>
          <cell r="I4">
            <v>110.37619999999995</v>
          </cell>
          <cell r="J4">
            <v>119.47640000000014</v>
          </cell>
          <cell r="K4">
            <v>95.11</v>
          </cell>
          <cell r="L4">
            <v>71.211299999999824</v>
          </cell>
          <cell r="M4">
            <v>51.643500000000003</v>
          </cell>
          <cell r="N4">
            <v>47.109500000000232</v>
          </cell>
        </row>
      </sheetData>
      <sheetData sheetId="5">
        <row r="3">
          <cell r="C3">
            <v>20.582000000000001</v>
          </cell>
        </row>
        <row r="4">
          <cell r="C4">
            <v>44.561899999999909</v>
          </cell>
          <cell r="D4">
            <v>24.298100000000094</v>
          </cell>
          <cell r="E4">
            <v>28.284299999999813</v>
          </cell>
          <cell r="F4">
            <v>27.128700000000187</v>
          </cell>
          <cell r="G4">
            <v>34.716699999999719</v>
          </cell>
          <cell r="H4">
            <v>54.870967000000284</v>
          </cell>
          <cell r="I4">
            <v>94.48197599999979</v>
          </cell>
          <cell r="J4">
            <v>101.94487800000003</v>
          </cell>
          <cell r="K4">
            <v>75.765530000000027</v>
          </cell>
          <cell r="L4">
            <v>156.29349900000005</v>
          </cell>
          <cell r="M4">
            <v>185.10087399999983</v>
          </cell>
          <cell r="N4">
            <v>195.29755300000031</v>
          </cell>
        </row>
      </sheetData>
      <sheetData sheetId="6">
        <row r="3">
          <cell r="C3">
            <v>31.364885999999821</v>
          </cell>
        </row>
        <row r="4">
          <cell r="C4">
            <v>147.31777</v>
          </cell>
          <cell r="D4">
            <v>84.774964999999852</v>
          </cell>
          <cell r="E4">
            <v>56.843450999999881</v>
          </cell>
          <cell r="F4">
            <v>71.933518000000149</v>
          </cell>
          <cell r="G4">
            <v>138.78362400000029</v>
          </cell>
          <cell r="H4">
            <v>184.92081999999942</v>
          </cell>
          <cell r="I4">
            <v>158.92538500000023</v>
          </cell>
          <cell r="J4">
            <v>166.84722599999978</v>
          </cell>
          <cell r="K4">
            <v>177.18828400000044</v>
          </cell>
          <cell r="L4">
            <v>183.54134299999942</v>
          </cell>
          <cell r="M4">
            <v>182.61075499999987</v>
          </cell>
          <cell r="N4">
            <v>189.60795600000071</v>
          </cell>
        </row>
      </sheetData>
      <sheetData sheetId="7">
        <row r="3">
          <cell r="C3">
            <v>29.766293000000065</v>
          </cell>
        </row>
        <row r="4">
          <cell r="C4">
            <v>125.761033</v>
          </cell>
          <cell r="D4">
            <v>63.206232999999536</v>
          </cell>
          <cell r="E4">
            <v>66.400333000000572</v>
          </cell>
          <cell r="F4">
            <v>59.581732999999538</v>
          </cell>
          <cell r="G4">
            <v>57.857050999999977</v>
          </cell>
          <cell r="H4">
            <v>71.134424000000777</v>
          </cell>
          <cell r="I4">
            <v>118.96295500000008</v>
          </cell>
          <cell r="J4">
            <v>141.01818399999897</v>
          </cell>
          <cell r="K4">
            <v>164.50247300000024</v>
          </cell>
          <cell r="L4">
            <v>147.82510400000001</v>
          </cell>
          <cell r="M4">
            <v>88.371788999999879</v>
          </cell>
          <cell r="N4">
            <v>114.598782</v>
          </cell>
        </row>
      </sheetData>
      <sheetData sheetId="8">
        <row r="3">
          <cell r="C3">
            <v>22.552581999999937</v>
          </cell>
        </row>
        <row r="4">
          <cell r="C4">
            <v>126.22684200000018</v>
          </cell>
          <cell r="D4">
            <v>48.35960799999954</v>
          </cell>
          <cell r="E4">
            <v>60.347191000000066</v>
          </cell>
          <cell r="F4">
            <v>47.448669000000223</v>
          </cell>
          <cell r="G4">
            <v>52.397391999999975</v>
          </cell>
          <cell r="H4">
            <v>60.510794999999924</v>
          </cell>
          <cell r="I4">
            <v>56.785311999999919</v>
          </cell>
          <cell r="J4">
            <v>151.60729500000039</v>
          </cell>
          <cell r="K4">
            <v>179.00042699999923</v>
          </cell>
          <cell r="L4">
            <v>139.15062599999999</v>
          </cell>
          <cell r="M4">
            <v>176.23853199999999</v>
          </cell>
          <cell r="N4">
            <v>85.396231000000611</v>
          </cell>
        </row>
      </sheetData>
      <sheetData sheetId="9">
        <row r="3">
          <cell r="C3">
            <v>24.566246999999972</v>
          </cell>
        </row>
        <row r="4">
          <cell r="C4">
            <v>52.160716999999245</v>
          </cell>
          <cell r="D4">
            <v>38.226069000001068</v>
          </cell>
          <cell r="E4">
            <v>44.340092999999413</v>
          </cell>
          <cell r="F4">
            <v>29.286831000001168</v>
          </cell>
          <cell r="G4">
            <v>28.976669999999999</v>
          </cell>
          <cell r="H4">
            <v>75.012167999999605</v>
          </cell>
          <cell r="I4">
            <v>99.726883000000001</v>
          </cell>
          <cell r="J4">
            <v>195.32551900000007</v>
          </cell>
          <cell r="K4">
            <v>179.58833199999947</v>
          </cell>
          <cell r="L4">
            <v>193.41799200000031</v>
          </cell>
          <cell r="M4">
            <v>189.00704200000013</v>
          </cell>
          <cell r="N4">
            <v>202.91342899999952</v>
          </cell>
        </row>
      </sheetData>
      <sheetData sheetId="10">
        <row r="3">
          <cell r="C3">
            <v>29.164321999999927</v>
          </cell>
        </row>
        <row r="4">
          <cell r="C4">
            <v>110.36860699999997</v>
          </cell>
          <cell r="D4">
            <v>61.981315000000762</v>
          </cell>
          <cell r="E4">
            <v>61.426696999999223</v>
          </cell>
          <cell r="F4">
            <v>46.831182000000027</v>
          </cell>
          <cell r="G4">
            <v>53.630072999999967</v>
          </cell>
          <cell r="H4">
            <v>49.802541000000204</v>
          </cell>
          <cell r="I4">
            <v>81.105309000000133</v>
          </cell>
          <cell r="J4">
            <v>86.7923049999997</v>
          </cell>
          <cell r="K4">
            <v>166.61844500000123</v>
          </cell>
          <cell r="L4">
            <v>192.76609399999921</v>
          </cell>
          <cell r="M4">
            <v>192.90018000000086</v>
          </cell>
          <cell r="N4">
            <v>181.47385199999974</v>
          </cell>
        </row>
      </sheetData>
      <sheetData sheetId="11">
        <row r="3">
          <cell r="C3">
            <v>33.846495199999993</v>
          </cell>
        </row>
        <row r="4">
          <cell r="C4">
            <v>122.50594479999999</v>
          </cell>
          <cell r="D4">
            <v>66.919390800000002</v>
          </cell>
          <cell r="E4">
            <v>74.536053599999988</v>
          </cell>
          <cell r="F4">
            <v>71.592840899999985</v>
          </cell>
          <cell r="G4">
            <v>110.182541</v>
          </cell>
          <cell r="H4">
            <v>115.54800859999999</v>
          </cell>
          <cell r="I4">
            <v>163.9011251</v>
          </cell>
          <cell r="J4">
            <v>194.26107150000001</v>
          </cell>
          <cell r="K4">
            <v>193.2066274</v>
          </cell>
          <cell r="L4">
            <v>196.85656800000001</v>
          </cell>
          <cell r="M4">
            <v>168.38218649999999</v>
          </cell>
          <cell r="N4">
            <v>153.6295523</v>
          </cell>
        </row>
      </sheetData>
      <sheetData sheetId="12">
        <row r="3">
          <cell r="C3">
            <v>26.196023199999999</v>
          </cell>
        </row>
        <row r="4">
          <cell r="C4">
            <v>113.1354312</v>
          </cell>
          <cell r="D4">
            <v>71.298942100000005</v>
          </cell>
          <cell r="E4">
            <v>70.493765299999993</v>
          </cell>
          <cell r="F4">
            <v>62.217610000000001</v>
          </cell>
          <cell r="G4">
            <v>43.759362299999999</v>
          </cell>
          <cell r="H4">
            <v>86.330209300000007</v>
          </cell>
          <cell r="I4">
            <v>141.6702884</v>
          </cell>
          <cell r="J4">
            <v>165.03639799999999</v>
          </cell>
          <cell r="K4">
            <v>195.23754399999999</v>
          </cell>
          <cell r="L4">
            <v>198.50973879999998</v>
          </cell>
          <cell r="M4">
            <v>163.315517</v>
          </cell>
          <cell r="N4">
            <v>125.9698503</v>
          </cell>
        </row>
      </sheetData>
      <sheetData sheetId="13">
        <row r="3">
          <cell r="C3">
            <v>27.937671999999999</v>
          </cell>
        </row>
        <row r="4">
          <cell r="C4">
            <v>73.596486099999993</v>
          </cell>
          <cell r="D4">
            <v>42.832670400000005</v>
          </cell>
          <cell r="E4">
            <v>35.955296799999999</v>
          </cell>
          <cell r="F4">
            <v>35.971539700000001</v>
          </cell>
          <cell r="G4">
            <v>54.107530500000003</v>
          </cell>
          <cell r="H4">
            <v>76.060693000000001</v>
          </cell>
          <cell r="I4">
            <v>135.68690319999999</v>
          </cell>
          <cell r="J4">
            <v>176.95260999999999</v>
          </cell>
          <cell r="K4">
            <v>179.47948259999998</v>
          </cell>
          <cell r="L4">
            <v>185.35782839999999</v>
          </cell>
          <cell r="M4">
            <v>134.72737609999999</v>
          </cell>
          <cell r="N4">
            <v>137.06628800000001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"/>
  <sheetViews>
    <sheetView tabSelected="1" topLeftCell="H1" zoomScale="85" zoomScaleNormal="85" workbookViewId="0">
      <pane ySplit="2" topLeftCell="A44" activePane="bottomLeft" state="frozen"/>
      <selection pane="bottomLeft" activeCell="Z53" sqref="Z53"/>
    </sheetView>
  </sheetViews>
  <sheetFormatPr baseColWidth="8" defaultRowHeight="14.25"/>
  <cols>
    <col width="9.625" bestFit="1" customWidth="1" min="3" max="3"/>
    <col width="9.25" bestFit="1" customWidth="1" min="14" max="14"/>
    <col width="9.625" bestFit="1" customWidth="1" min="15" max="15"/>
  </cols>
  <sheetData>
    <row r="1" ht="15" customHeight="1">
      <c r="Q1" s="22" t="inlineStr">
        <is>
          <t>Lưu lượng [m3/s]</t>
        </is>
      </c>
    </row>
    <row r="2" ht="15" customHeight="1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M2" s="1" t="n">
        <v>11</v>
      </c>
      <c r="N2" s="1" t="n">
        <v>12</v>
      </c>
      <c r="O2" s="2" t="inlineStr">
        <is>
          <t>Tổng</t>
        </is>
      </c>
      <c r="Q2" s="1" t="n">
        <v>1</v>
      </c>
      <c r="R2" s="1" t="n">
        <v>2</v>
      </c>
      <c r="S2" s="1" t="n">
        <v>3</v>
      </c>
      <c r="T2" s="1" t="n">
        <v>4</v>
      </c>
      <c r="U2" s="1" t="n">
        <v>5</v>
      </c>
      <c r="V2" s="1" t="n">
        <v>6</v>
      </c>
      <c r="W2" s="1" t="n">
        <v>7</v>
      </c>
      <c r="X2" s="1" t="n">
        <v>8</v>
      </c>
      <c r="Y2" s="1" t="n">
        <v>9</v>
      </c>
      <c r="Z2" s="1" t="n">
        <v>10</v>
      </c>
      <c r="AA2" s="1" t="n">
        <v>11</v>
      </c>
      <c r="AB2" s="1" t="n">
        <v>12</v>
      </c>
      <c r="AD2" t="inlineStr">
        <is>
          <t>SHN</t>
        </is>
      </c>
      <c r="AE2" s="1" t="n">
        <v>3.99</v>
      </c>
      <c r="AF2" s="3" t="inlineStr">
        <is>
          <t>m3/khw</t>
        </is>
      </c>
    </row>
    <row r="3">
      <c r="B3" t="n">
        <v>1977</v>
      </c>
      <c r="C3" s="26">
        <f>IF(Q3*DAY(EOMONTH(DATE($B3,$C$2,1),0))*24*3600/$AE$2/10^6&gt;$AE$3,$AE$3,Q3*DAY(EOMONTH(DATE($B3,$C$2,1),0))*24*3600/$AE$2/10^6)</f>
        <v/>
      </c>
      <c r="D3" s="26">
        <f>IF(R3*DAY(EOMONTH(DATE($B3,$D$2,1),0))*24*3600/$AE$2/10^6&gt;$AE$3,$AE$3,R3*DAY(EOMONTH(DATE($B3,$D$2,1),0))*24*3600/$AE$2/10^6)</f>
        <v/>
      </c>
      <c r="E3" s="26">
        <f>IF(S3*DAY(EOMONTH(DATE($B3,$E$2,1),0))*24*3600/$AE$2/10^6&gt;$AE$3,$AE$3,S3*DAY(EOMONTH(DATE($B3,$E$2,1),0))*24*3600/$AE$2/10^6)</f>
        <v/>
      </c>
      <c r="F3" s="26">
        <f>IF(T3*DAY(EOMONTH(DATE($B3,$F$2,1),0))*24*3600/$AE$2/10^6&gt;$AE$3,$AE$3,T3*DAY(EOMONTH(DATE($B3,$F$2,1),0))*24*3600/$AE$2/10^6)</f>
        <v/>
      </c>
      <c r="G3" s="26">
        <f>IF(U3*DAY(EOMONTH(DATE($B3,$G$2,1),0))*24*3600/$AE$2/10^6&gt;$AE$3,$AE$3,U3*DAY(EOMONTH(DATE($B3,$G$2,1),0))*24*3600/$AE$2/10^6)</f>
        <v/>
      </c>
      <c r="H3" s="26">
        <f>IF(V3*DAY(EOMONTH(DATE($B3,$H$2,1),0))*24*3600/$AE$2/10^6&gt;$AE$3,$AE$3,V3*DAY(EOMONTH(DATE($B3,$H$2,1),0))*24*3600/$AE$2/10^6)</f>
        <v/>
      </c>
      <c r="I3" s="26">
        <f>IF(W3*DAY(EOMONTH(DATE($B3,$I$2,1),0))*24*3600/$AE$2/10^6&gt;$AE$3,$AE$3,W3*DAY(EOMONTH(DATE($B3,$I$2,1),0))*24*3600/$AE$2/10^6)</f>
        <v/>
      </c>
      <c r="J3" s="26">
        <f>IF(X3*DAY(EOMONTH(DATE($B3,$J$2,1),0))*24*3600/$AE$2/10^6&gt;$AE$3,$AE$3,X3*DAY(EOMONTH(DATE($B3,$J$2,1),0))*24*3600/$AE$2/10^6)</f>
        <v/>
      </c>
      <c r="K3" s="26">
        <f>IF(Y3*DAY(EOMONTH(DATE($B3,$K$2,1),0))*24*3600/$AE$2/10^6&gt;$AE$3,$AE$3,Y3*DAY(EOMONTH(DATE($B3,$K$2,1),0))*24*3600/$AE$2/10^6)</f>
        <v/>
      </c>
      <c r="L3" s="26">
        <f>IF(Z3*DAY(EOMONTH(DATE($B3,$L$2,1),0))*24*3600/$AE$2/10^6&gt;$AE$3,$AE$3,Z3*DAY(EOMONTH(DATE($B3,$L$2,1),0))*24*3600/$AE$2/10^6)</f>
        <v/>
      </c>
      <c r="M3" s="26">
        <f>IF(AA3*DAY(EOMONTH(DATE($B3,$M$2,1),0))*24*3600/$AE$2/10^6&gt;$AE$3,$AE$3,AA3*DAY(EOMONTH(DATE($B3,$M$2,1),0))*24*3600/$AE$2/10^6)</f>
        <v/>
      </c>
      <c r="N3" s="26">
        <f>IF(AB3*DAY(EOMONTH(DATE($B3,$N$2,1),0))*24*3600/$AE$2/10^6&gt;$AE$3,$AE$3,AB3*DAY(EOMONTH(DATE($B3,$N$2,1),0))*24*3600/$AE$2/10^6)</f>
        <v/>
      </c>
      <c r="O3" s="27">
        <f>SUM(C3:N3)</f>
        <v/>
      </c>
      <c r="Q3" s="28" t="n">
        <v>80.59999999999999</v>
      </c>
      <c r="R3" s="28" t="n">
        <v>55.9</v>
      </c>
      <c r="S3" s="28" t="n">
        <v>37.9</v>
      </c>
      <c r="T3" s="28" t="n">
        <v>26</v>
      </c>
      <c r="U3" s="28" t="n">
        <v>30.3</v>
      </c>
      <c r="V3" s="28" t="n">
        <v>36.2</v>
      </c>
      <c r="W3" s="28" t="n">
        <v>102.2</v>
      </c>
      <c r="X3" s="28" t="n">
        <v>102.9</v>
      </c>
      <c r="Y3" s="28" t="n">
        <v>345.3</v>
      </c>
      <c r="Z3" s="28" t="n">
        <v>320</v>
      </c>
      <c r="AA3" s="28" t="n">
        <v>183.5</v>
      </c>
      <c r="AB3" s="28" t="n">
        <v>91.3</v>
      </c>
      <c r="AD3" t="inlineStr">
        <is>
          <t>A_max</t>
        </is>
      </c>
      <c r="AE3" s="28" t="n">
        <v>189.607956000001</v>
      </c>
      <c r="AF3" s="3" t="inlineStr">
        <is>
          <t>tr.kwh</t>
        </is>
      </c>
    </row>
    <row r="4">
      <c r="B4" t="n">
        <v>1978</v>
      </c>
      <c r="C4" s="26">
        <f>IF(Q4*DAY(EOMONTH(DATE($B4,$C$2,1),0))*24*3600/$AE$2/10^6&gt;$AE$3,$AE$3,Q4*DAY(EOMONTH(DATE($B4,$C$2,1),0))*24*3600/$AE$2/10^6)</f>
        <v/>
      </c>
      <c r="D4" s="26">
        <f>IF(R4*DAY(EOMONTH(DATE($B4,$D$2,1),0))*24*3600/$AE$2/10^6&gt;$AE$3,$AE$3,R4*DAY(EOMONTH(DATE($B4,$D$2,1),0))*24*3600/$AE$2/10^6)</f>
        <v/>
      </c>
      <c r="E4" s="26">
        <f>IF(S4*DAY(EOMONTH(DATE($B4,$E$2,1),0))*24*3600/$AE$2/10^6&gt;$AE$3,$AE$3,S4*DAY(EOMONTH(DATE($B4,$E$2,1),0))*24*3600/$AE$2/10^6)</f>
        <v/>
      </c>
      <c r="F4" s="26">
        <f>IF(T4*DAY(EOMONTH(DATE($B4,$F$2,1),0))*24*3600/$AE$2/10^6&gt;$AE$3,$AE$3,T4*DAY(EOMONTH(DATE($B4,$F$2,1),0))*24*3600/$AE$2/10^6)</f>
        <v/>
      </c>
      <c r="G4" s="26">
        <f>IF(U4*DAY(EOMONTH(DATE($B4,$G$2,1),0))*24*3600/$AE$2/10^6&gt;$AE$3,$AE$3,U4*DAY(EOMONTH(DATE($B4,$G$2,1),0))*24*3600/$AE$2/10^6)</f>
        <v/>
      </c>
      <c r="H4" s="26">
        <f>IF(V4*DAY(EOMONTH(DATE($B4,$H$2,1),0))*24*3600/$AE$2/10^6&gt;$AE$3,$AE$3,V4*DAY(EOMONTH(DATE($B4,$H$2,1),0))*24*3600/$AE$2/10^6)</f>
        <v/>
      </c>
      <c r="I4" s="26">
        <f>IF(W4*DAY(EOMONTH(DATE($B4,$I$2,1),0))*24*3600/$AE$2/10^6&gt;$AE$3,$AE$3,W4*DAY(EOMONTH(DATE($B4,$I$2,1),0))*24*3600/$AE$2/10^6)</f>
        <v/>
      </c>
      <c r="J4" s="26">
        <f>IF(X4*DAY(EOMONTH(DATE($B4,$J$2,1),0))*24*3600/$AE$2/10^6&gt;$AE$3,$AE$3,X4*DAY(EOMONTH(DATE($B4,$J$2,1),0))*24*3600/$AE$2/10^6)</f>
        <v/>
      </c>
      <c r="K4" s="26">
        <f>IF(Y4*DAY(EOMONTH(DATE($B4,$K$2,1),0))*24*3600/$AE$2/10^6&gt;$AE$3,$AE$3,Y4*DAY(EOMONTH(DATE($B4,$K$2,1),0))*24*3600/$AE$2/10^6)</f>
        <v/>
      </c>
      <c r="L4" s="26">
        <f>IF(Z4*DAY(EOMONTH(DATE($B4,$L$2,1),0))*24*3600/$AE$2/10^6&gt;$AE$3,$AE$3,Z4*DAY(EOMONTH(DATE($B4,$L$2,1),0))*24*3600/$AE$2/10^6)</f>
        <v/>
      </c>
      <c r="M4" s="26">
        <f>IF(AA4*DAY(EOMONTH(DATE($B4,$M$2,1),0))*24*3600/$AE$2/10^6&gt;$AE$3,$AE$3,AA4*DAY(EOMONTH(DATE($B4,$M$2,1),0))*24*3600/$AE$2/10^6)</f>
        <v/>
      </c>
      <c r="N4" s="26">
        <f>IF(AB4*DAY(EOMONTH(DATE($B4,$N$2,1),0))*24*3600/$AE$2/10^6&gt;$AE$3,$AE$3,AB4*DAY(EOMONTH(DATE($B4,$N$2,1),0))*24*3600/$AE$2/10^6)</f>
        <v/>
      </c>
      <c r="O4" s="27">
        <f>SUM(C4:N4)</f>
        <v/>
      </c>
      <c r="Q4" s="28" t="n">
        <v>53.5</v>
      </c>
      <c r="R4" s="28" t="n">
        <v>35.9</v>
      </c>
      <c r="S4" s="28" t="n">
        <v>32.6</v>
      </c>
      <c r="T4" s="28" t="n">
        <v>29.8</v>
      </c>
      <c r="U4" s="28" t="n">
        <v>71.7</v>
      </c>
      <c r="V4" s="28" t="n">
        <v>81.09999999999999</v>
      </c>
      <c r="W4" s="28" t="n">
        <v>170.5</v>
      </c>
      <c r="X4" s="28" t="n">
        <v>265.4</v>
      </c>
      <c r="Y4" s="28" t="n">
        <v>405.3</v>
      </c>
      <c r="Z4" s="28" t="n">
        <v>505.7</v>
      </c>
      <c r="AA4" s="28" t="n">
        <v>366</v>
      </c>
      <c r="AB4" s="28" t="n">
        <v>167.2</v>
      </c>
    </row>
    <row r="5">
      <c r="B5" t="n">
        <v>1979</v>
      </c>
      <c r="C5" s="26">
        <f>IF(Q5*DAY(EOMONTH(DATE($B5,$C$2,1),0))*24*3600/$AE$2/10^6&gt;$AE$3,$AE$3,Q5*DAY(EOMONTH(DATE($B5,$C$2,1),0))*24*3600/$AE$2/10^6)</f>
        <v/>
      </c>
      <c r="D5" s="26">
        <f>IF(R5*DAY(EOMONTH(DATE($B5,$D$2,1),0))*24*3600/$AE$2/10^6&gt;$AE$3,$AE$3,R5*DAY(EOMONTH(DATE($B5,$D$2,1),0))*24*3600/$AE$2/10^6)</f>
        <v/>
      </c>
      <c r="E5" s="26">
        <f>IF(S5*DAY(EOMONTH(DATE($B5,$E$2,1),0))*24*3600/$AE$2/10^6&gt;$AE$3,$AE$3,S5*DAY(EOMONTH(DATE($B5,$E$2,1),0))*24*3600/$AE$2/10^6)</f>
        <v/>
      </c>
      <c r="F5" s="26">
        <f>IF(T5*DAY(EOMONTH(DATE($B5,$F$2,1),0))*24*3600/$AE$2/10^6&gt;$AE$3,$AE$3,T5*DAY(EOMONTH(DATE($B5,$F$2,1),0))*24*3600/$AE$2/10^6)</f>
        <v/>
      </c>
      <c r="G5" s="26">
        <f>IF(U5*DAY(EOMONTH(DATE($B5,$G$2,1),0))*24*3600/$AE$2/10^6&gt;$AE$3,$AE$3,U5*DAY(EOMONTH(DATE($B5,$G$2,1),0))*24*3600/$AE$2/10^6)</f>
        <v/>
      </c>
      <c r="H5" s="26">
        <f>IF(V5*DAY(EOMONTH(DATE($B5,$H$2,1),0))*24*3600/$AE$2/10^6&gt;$AE$3,$AE$3,V5*DAY(EOMONTH(DATE($B5,$H$2,1),0))*24*3600/$AE$2/10^6)</f>
        <v/>
      </c>
      <c r="I5" s="26">
        <f>IF(W5*DAY(EOMONTH(DATE($B5,$I$2,1),0))*24*3600/$AE$2/10^6&gt;$AE$3,$AE$3,W5*DAY(EOMONTH(DATE($B5,$I$2,1),0))*24*3600/$AE$2/10^6)</f>
        <v/>
      </c>
      <c r="J5" s="26">
        <f>IF(X5*DAY(EOMONTH(DATE($B5,$J$2,1),0))*24*3600/$AE$2/10^6&gt;$AE$3,$AE$3,X5*DAY(EOMONTH(DATE($B5,$J$2,1),0))*24*3600/$AE$2/10^6)</f>
        <v/>
      </c>
      <c r="K5" s="26">
        <f>IF(Y5*DAY(EOMONTH(DATE($B5,$K$2,1),0))*24*3600/$AE$2/10^6&gt;$AE$3,$AE$3,Y5*DAY(EOMONTH(DATE($B5,$K$2,1),0))*24*3600/$AE$2/10^6)</f>
        <v/>
      </c>
      <c r="L5" s="26">
        <f>IF(Z5*DAY(EOMONTH(DATE($B5,$L$2,1),0))*24*3600/$AE$2/10^6&gt;$AE$3,$AE$3,Z5*DAY(EOMONTH(DATE($B5,$L$2,1),0))*24*3600/$AE$2/10^6)</f>
        <v/>
      </c>
      <c r="M5" s="26">
        <f>IF(AA5*DAY(EOMONTH(DATE($B5,$M$2,1),0))*24*3600/$AE$2/10^6&gt;$AE$3,$AE$3,AA5*DAY(EOMONTH(DATE($B5,$M$2,1),0))*24*3600/$AE$2/10^6)</f>
        <v/>
      </c>
      <c r="N5" s="26">
        <f>IF(AB5*DAY(EOMONTH(DATE($B5,$N$2,1),0))*24*3600/$AE$2/10^6&gt;$AE$3,$AE$3,AB5*DAY(EOMONTH(DATE($B5,$N$2,1),0))*24*3600/$AE$2/10^6)</f>
        <v/>
      </c>
      <c r="O5" s="27">
        <f>SUM(C5:N5)</f>
        <v/>
      </c>
      <c r="Q5" s="28" t="n">
        <v>95.2</v>
      </c>
      <c r="R5" s="28" t="n">
        <v>54.3</v>
      </c>
      <c r="S5" s="28" t="n">
        <v>34.5</v>
      </c>
      <c r="T5" s="28" t="n">
        <v>35.8</v>
      </c>
      <c r="U5" s="28" t="n">
        <v>63.2</v>
      </c>
      <c r="V5" s="28" t="n">
        <v>147.1</v>
      </c>
      <c r="W5" s="28" t="n">
        <v>296.8</v>
      </c>
      <c r="X5" s="28" t="n">
        <v>348.4</v>
      </c>
      <c r="Y5" s="28" t="n">
        <v>224.2</v>
      </c>
      <c r="Z5" s="28" t="n">
        <v>412.7</v>
      </c>
      <c r="AA5" s="28" t="n">
        <v>319.8</v>
      </c>
      <c r="AB5" s="28" t="n">
        <v>240.4</v>
      </c>
    </row>
    <row r="6">
      <c r="B6" t="n">
        <v>1980</v>
      </c>
      <c r="C6" s="26">
        <f>IF(Q6*DAY(EOMONTH(DATE($B6,$C$2,1),0))*24*3600/$AE$2/10^6&gt;$AE$3,$AE$3,Q6*DAY(EOMONTH(DATE($B6,$C$2,1),0))*24*3600/$AE$2/10^6)</f>
        <v/>
      </c>
      <c r="D6" s="26">
        <f>IF(R6*DAY(EOMONTH(DATE($B6,$D$2,1),0))*24*3600/$AE$2/10^6&gt;$AE$3,$AE$3,R6*DAY(EOMONTH(DATE($B6,$D$2,1),0))*24*3600/$AE$2/10^6)</f>
        <v/>
      </c>
      <c r="E6" s="26">
        <f>IF(S6*DAY(EOMONTH(DATE($B6,$E$2,1),0))*24*3600/$AE$2/10^6&gt;$AE$3,$AE$3,S6*DAY(EOMONTH(DATE($B6,$E$2,1),0))*24*3600/$AE$2/10^6)</f>
        <v/>
      </c>
      <c r="F6" s="26">
        <f>IF(T6*DAY(EOMONTH(DATE($B6,$F$2,1),0))*24*3600/$AE$2/10^6&gt;$AE$3,$AE$3,T6*DAY(EOMONTH(DATE($B6,$F$2,1),0))*24*3600/$AE$2/10^6)</f>
        <v/>
      </c>
      <c r="G6" s="26">
        <f>IF(U6*DAY(EOMONTH(DATE($B6,$G$2,1),0))*24*3600/$AE$2/10^6&gt;$AE$3,$AE$3,U6*DAY(EOMONTH(DATE($B6,$G$2,1),0))*24*3600/$AE$2/10^6)</f>
        <v/>
      </c>
      <c r="H6" s="26">
        <f>IF(V6*DAY(EOMONTH(DATE($B6,$H$2,1),0))*24*3600/$AE$2/10^6&gt;$AE$3,$AE$3,V6*DAY(EOMONTH(DATE($B6,$H$2,1),0))*24*3600/$AE$2/10^6)</f>
        <v/>
      </c>
      <c r="I6" s="26">
        <f>IF(W6*DAY(EOMONTH(DATE($B6,$I$2,1),0))*24*3600/$AE$2/10^6&gt;$AE$3,$AE$3,W6*DAY(EOMONTH(DATE($B6,$I$2,1),0))*24*3600/$AE$2/10^6)</f>
        <v/>
      </c>
      <c r="J6" s="26">
        <f>IF(X6*DAY(EOMONTH(DATE($B6,$J$2,1),0))*24*3600/$AE$2/10^6&gt;$AE$3,$AE$3,X6*DAY(EOMONTH(DATE($B6,$J$2,1),0))*24*3600/$AE$2/10^6)</f>
        <v/>
      </c>
      <c r="K6" s="26">
        <f>IF(Y6*DAY(EOMONTH(DATE($B6,$K$2,1),0))*24*3600/$AE$2/10^6&gt;$AE$3,$AE$3,Y6*DAY(EOMONTH(DATE($B6,$K$2,1),0))*24*3600/$AE$2/10^6)</f>
        <v/>
      </c>
      <c r="L6" s="26">
        <f>IF(Z6*DAY(EOMONTH(DATE($B6,$L$2,1),0))*24*3600/$AE$2/10^6&gt;$AE$3,$AE$3,Z6*DAY(EOMONTH(DATE($B6,$L$2,1),0))*24*3600/$AE$2/10^6)</f>
        <v/>
      </c>
      <c r="M6" s="26">
        <f>IF(AA6*DAY(EOMONTH(DATE($B6,$M$2,1),0))*24*3600/$AE$2/10^6&gt;$AE$3,$AE$3,AA6*DAY(EOMONTH(DATE($B6,$M$2,1),0))*24*3600/$AE$2/10^6)</f>
        <v/>
      </c>
      <c r="N6" s="26">
        <f>IF(AB6*DAY(EOMONTH(DATE($B6,$N$2,1),0))*24*3600/$AE$2/10^6&gt;$AE$3,$AE$3,AB6*DAY(EOMONTH(DATE($B6,$N$2,1),0))*24*3600/$AE$2/10^6)</f>
        <v/>
      </c>
      <c r="O6" s="27">
        <f>SUM(C6:N6)</f>
        <v/>
      </c>
      <c r="Q6" s="28" t="n">
        <v>116.2</v>
      </c>
      <c r="R6" s="28" t="n">
        <v>82.09999999999999</v>
      </c>
      <c r="S6" s="28" t="n">
        <v>59.7</v>
      </c>
      <c r="T6" s="28" t="n">
        <v>56.9</v>
      </c>
      <c r="U6" s="28" t="n">
        <v>100.9</v>
      </c>
      <c r="V6" s="28" t="n">
        <v>166.7</v>
      </c>
      <c r="W6" s="28" t="n">
        <v>187.2</v>
      </c>
      <c r="X6" s="28" t="n">
        <v>212.8</v>
      </c>
      <c r="Y6" s="28" t="n">
        <v>497.1</v>
      </c>
      <c r="Z6" s="28" t="n">
        <v>484.8</v>
      </c>
      <c r="AA6" s="28" t="n">
        <v>530.5</v>
      </c>
      <c r="AB6" s="28" t="n">
        <v>240.1</v>
      </c>
    </row>
    <row r="7">
      <c r="B7" t="n">
        <v>1981</v>
      </c>
      <c r="C7" s="26">
        <f>IF(Q7*DAY(EOMONTH(DATE($B7,$C$2,1),0))*24*3600/$AE$2/10^6&gt;$AE$3,$AE$3,Q7*DAY(EOMONTH(DATE($B7,$C$2,1),0))*24*3600/$AE$2/10^6)</f>
        <v/>
      </c>
      <c r="D7" s="26">
        <f>IF(R7*DAY(EOMONTH(DATE($B7,$D$2,1),0))*24*3600/$AE$2/10^6&gt;$AE$3,$AE$3,R7*DAY(EOMONTH(DATE($B7,$D$2,1),0))*24*3600/$AE$2/10^6)</f>
        <v/>
      </c>
      <c r="E7" s="26">
        <f>IF(S7*DAY(EOMONTH(DATE($B7,$E$2,1),0))*24*3600/$AE$2/10^6&gt;$AE$3,$AE$3,S7*DAY(EOMONTH(DATE($B7,$E$2,1),0))*24*3600/$AE$2/10^6)</f>
        <v/>
      </c>
      <c r="F7" s="26">
        <f>IF(T7*DAY(EOMONTH(DATE($B7,$F$2,1),0))*24*3600/$AE$2/10^6&gt;$AE$3,$AE$3,T7*DAY(EOMONTH(DATE($B7,$F$2,1),0))*24*3600/$AE$2/10^6)</f>
        <v/>
      </c>
      <c r="G7" s="26">
        <f>IF(U7*DAY(EOMONTH(DATE($B7,$G$2,1),0))*24*3600/$AE$2/10^6&gt;$AE$3,$AE$3,U7*DAY(EOMONTH(DATE($B7,$G$2,1),0))*24*3600/$AE$2/10^6)</f>
        <v/>
      </c>
      <c r="H7" s="26">
        <f>IF(V7*DAY(EOMONTH(DATE($B7,$H$2,1),0))*24*3600/$AE$2/10^6&gt;$AE$3,$AE$3,V7*DAY(EOMONTH(DATE($B7,$H$2,1),0))*24*3600/$AE$2/10^6)</f>
        <v/>
      </c>
      <c r="I7" s="26">
        <f>IF(W7*DAY(EOMONTH(DATE($B7,$I$2,1),0))*24*3600/$AE$2/10^6&gt;$AE$3,$AE$3,W7*DAY(EOMONTH(DATE($B7,$I$2,1),0))*24*3600/$AE$2/10^6)</f>
        <v/>
      </c>
      <c r="J7" s="26">
        <f>IF(X7*DAY(EOMONTH(DATE($B7,$J$2,1),0))*24*3600/$AE$2/10^6&gt;$AE$3,$AE$3,X7*DAY(EOMONTH(DATE($B7,$J$2,1),0))*24*3600/$AE$2/10^6)</f>
        <v/>
      </c>
      <c r="K7" s="26">
        <f>IF(Y7*DAY(EOMONTH(DATE($B7,$K$2,1),0))*24*3600/$AE$2/10^6&gt;$AE$3,$AE$3,Y7*DAY(EOMONTH(DATE($B7,$K$2,1),0))*24*3600/$AE$2/10^6)</f>
        <v/>
      </c>
      <c r="L7" s="26">
        <f>IF(Z7*DAY(EOMONTH(DATE($B7,$L$2,1),0))*24*3600/$AE$2/10^6&gt;$AE$3,$AE$3,Z7*DAY(EOMONTH(DATE($B7,$L$2,1),0))*24*3600/$AE$2/10^6)</f>
        <v/>
      </c>
      <c r="M7" s="26">
        <f>IF(AA7*DAY(EOMONTH(DATE($B7,$M$2,1),0))*24*3600/$AE$2/10^6&gt;$AE$3,$AE$3,AA7*DAY(EOMONTH(DATE($B7,$M$2,1),0))*24*3600/$AE$2/10^6)</f>
        <v/>
      </c>
      <c r="N7" s="26">
        <f>IF(AB7*DAY(EOMONTH(DATE($B7,$N$2,1),0))*24*3600/$AE$2/10^6&gt;$AE$3,$AE$3,AB7*DAY(EOMONTH(DATE($B7,$N$2,1),0))*24*3600/$AE$2/10^6)</f>
        <v/>
      </c>
      <c r="O7" s="27">
        <f>SUM(C7:N7)</f>
        <v/>
      </c>
      <c r="Q7" s="28" t="n">
        <v>125.2</v>
      </c>
      <c r="R7" s="28" t="n">
        <v>89.59999999999999</v>
      </c>
      <c r="S7" s="28" t="n">
        <v>57</v>
      </c>
      <c r="T7" s="28" t="n">
        <v>55</v>
      </c>
      <c r="U7" s="28" t="n">
        <v>86.8</v>
      </c>
      <c r="V7" s="28" t="n">
        <v>214.2</v>
      </c>
      <c r="W7" s="28" t="n">
        <v>178</v>
      </c>
      <c r="X7" s="28" t="n">
        <v>442</v>
      </c>
      <c r="Y7" s="28" t="n">
        <v>281.7</v>
      </c>
      <c r="Z7" s="28" t="n">
        <v>675.8</v>
      </c>
      <c r="AA7" s="28" t="n">
        <v>784.9</v>
      </c>
      <c r="AB7" s="28" t="n">
        <v>441.4</v>
      </c>
    </row>
    <row r="8">
      <c r="B8" t="n">
        <v>1982</v>
      </c>
      <c r="C8" s="26">
        <f>IF(Q8*DAY(EOMONTH(DATE($B8,$C$2,1),0))*24*3600/$AE$2/10^6&gt;$AE$3,$AE$3,Q8*DAY(EOMONTH(DATE($B8,$C$2,1),0))*24*3600/$AE$2/10^6)</f>
        <v/>
      </c>
      <c r="D8" s="26">
        <f>IF(R8*DAY(EOMONTH(DATE($B8,$D$2,1),0))*24*3600/$AE$2/10^6&gt;$AE$3,$AE$3,R8*DAY(EOMONTH(DATE($B8,$D$2,1),0))*24*3600/$AE$2/10^6)</f>
        <v/>
      </c>
      <c r="E8" s="26">
        <f>IF(S8*DAY(EOMONTH(DATE($B8,$E$2,1),0))*24*3600/$AE$2/10^6&gt;$AE$3,$AE$3,S8*DAY(EOMONTH(DATE($B8,$E$2,1),0))*24*3600/$AE$2/10^6)</f>
        <v/>
      </c>
      <c r="F8" s="26">
        <f>IF(T8*DAY(EOMONTH(DATE($B8,$F$2,1),0))*24*3600/$AE$2/10^6&gt;$AE$3,$AE$3,T8*DAY(EOMONTH(DATE($B8,$F$2,1),0))*24*3600/$AE$2/10^6)</f>
        <v/>
      </c>
      <c r="G8" s="26">
        <f>IF(U8*DAY(EOMONTH(DATE($B8,$G$2,1),0))*24*3600/$AE$2/10^6&gt;$AE$3,$AE$3,U8*DAY(EOMONTH(DATE($B8,$G$2,1),0))*24*3600/$AE$2/10^6)</f>
        <v/>
      </c>
      <c r="H8" s="26">
        <f>IF(V8*DAY(EOMONTH(DATE($B8,$H$2,1),0))*24*3600/$AE$2/10^6&gt;$AE$3,$AE$3,V8*DAY(EOMONTH(DATE($B8,$H$2,1),0))*24*3600/$AE$2/10^6)</f>
        <v/>
      </c>
      <c r="I8" s="26">
        <f>IF(W8*DAY(EOMONTH(DATE($B8,$I$2,1),0))*24*3600/$AE$2/10^6&gt;$AE$3,$AE$3,W8*DAY(EOMONTH(DATE($B8,$I$2,1),0))*24*3600/$AE$2/10^6)</f>
        <v/>
      </c>
      <c r="J8" s="26">
        <f>IF(X8*DAY(EOMONTH(DATE($B8,$J$2,1),0))*24*3600/$AE$2/10^6&gt;$AE$3,$AE$3,X8*DAY(EOMONTH(DATE($B8,$J$2,1),0))*24*3600/$AE$2/10^6)</f>
        <v/>
      </c>
      <c r="K8" s="26">
        <f>IF(Y8*DAY(EOMONTH(DATE($B8,$K$2,1),0))*24*3600/$AE$2/10^6&gt;$AE$3,$AE$3,Y8*DAY(EOMONTH(DATE($B8,$K$2,1),0))*24*3600/$AE$2/10^6)</f>
        <v/>
      </c>
      <c r="L8" s="26">
        <f>IF(Z8*DAY(EOMONTH(DATE($B8,$L$2,1),0))*24*3600/$AE$2/10^6&gt;$AE$3,$AE$3,Z8*DAY(EOMONTH(DATE($B8,$L$2,1),0))*24*3600/$AE$2/10^6)</f>
        <v/>
      </c>
      <c r="M8" s="26">
        <f>IF(AA8*DAY(EOMONTH(DATE($B8,$M$2,1),0))*24*3600/$AE$2/10^6&gt;$AE$3,$AE$3,AA8*DAY(EOMONTH(DATE($B8,$M$2,1),0))*24*3600/$AE$2/10^6)</f>
        <v/>
      </c>
      <c r="N8" s="26">
        <f>IF(AB8*DAY(EOMONTH(DATE($B8,$N$2,1),0))*24*3600/$AE$2/10^6&gt;$AE$3,$AE$3,AB8*DAY(EOMONTH(DATE($B8,$N$2,1),0))*24*3600/$AE$2/10^6)</f>
        <v/>
      </c>
      <c r="O8" s="27">
        <f>SUM(C8:N8)</f>
        <v/>
      </c>
      <c r="Q8" s="28" t="n">
        <v>177.5</v>
      </c>
      <c r="R8" s="28" t="n">
        <v>96.59999999999999</v>
      </c>
      <c r="S8" s="28" t="n">
        <v>66.40000000000001</v>
      </c>
      <c r="T8" s="28" t="n">
        <v>69.3</v>
      </c>
      <c r="U8" s="28" t="n">
        <v>75.59999999999999</v>
      </c>
      <c r="V8" s="28" t="n">
        <v>178.5</v>
      </c>
      <c r="W8" s="28" t="n">
        <v>196.5</v>
      </c>
      <c r="X8" s="28" t="n">
        <v>165.3</v>
      </c>
      <c r="Y8" s="28" t="n">
        <v>488.1</v>
      </c>
      <c r="Z8" s="28" t="n">
        <v>269.7</v>
      </c>
      <c r="AA8" s="28" t="n">
        <v>160.9</v>
      </c>
      <c r="AB8" s="28" t="n">
        <v>94.40000000000001</v>
      </c>
    </row>
    <row r="9">
      <c r="B9" t="n">
        <v>1983</v>
      </c>
      <c r="C9" s="26">
        <f>IF(Q9*DAY(EOMONTH(DATE($B9,$C$2,1),0))*24*3600/$AE$2/10^6&gt;$AE$3,$AE$3,Q9*DAY(EOMONTH(DATE($B9,$C$2,1),0))*24*3600/$AE$2/10^6)</f>
        <v/>
      </c>
      <c r="D9" s="26">
        <f>IF(R9*DAY(EOMONTH(DATE($B9,$D$2,1),0))*24*3600/$AE$2/10^6&gt;$AE$3,$AE$3,R9*DAY(EOMONTH(DATE($B9,$D$2,1),0))*24*3600/$AE$2/10^6)</f>
        <v/>
      </c>
      <c r="E9" s="26">
        <f>IF(S9*DAY(EOMONTH(DATE($B9,$E$2,1),0))*24*3600/$AE$2/10^6&gt;$AE$3,$AE$3,S9*DAY(EOMONTH(DATE($B9,$E$2,1),0))*24*3600/$AE$2/10^6)</f>
        <v/>
      </c>
      <c r="F9" s="26">
        <f>IF(T9*DAY(EOMONTH(DATE($B9,$F$2,1),0))*24*3600/$AE$2/10^6&gt;$AE$3,$AE$3,T9*DAY(EOMONTH(DATE($B9,$F$2,1),0))*24*3600/$AE$2/10^6)</f>
        <v/>
      </c>
      <c r="G9" s="26">
        <f>IF(U9*DAY(EOMONTH(DATE($B9,$G$2,1),0))*24*3600/$AE$2/10^6&gt;$AE$3,$AE$3,U9*DAY(EOMONTH(DATE($B9,$G$2,1),0))*24*3600/$AE$2/10^6)</f>
        <v/>
      </c>
      <c r="H9" s="26">
        <f>IF(V9*DAY(EOMONTH(DATE($B9,$H$2,1),0))*24*3600/$AE$2/10^6&gt;$AE$3,$AE$3,V9*DAY(EOMONTH(DATE($B9,$H$2,1),0))*24*3600/$AE$2/10^6)</f>
        <v/>
      </c>
      <c r="I9" s="26">
        <f>IF(W9*DAY(EOMONTH(DATE($B9,$I$2,1),0))*24*3600/$AE$2/10^6&gt;$AE$3,$AE$3,W9*DAY(EOMONTH(DATE($B9,$I$2,1),0))*24*3600/$AE$2/10^6)</f>
        <v/>
      </c>
      <c r="J9" s="26">
        <f>IF(X9*DAY(EOMONTH(DATE($B9,$J$2,1),0))*24*3600/$AE$2/10^6&gt;$AE$3,$AE$3,X9*DAY(EOMONTH(DATE($B9,$J$2,1),0))*24*3600/$AE$2/10^6)</f>
        <v/>
      </c>
      <c r="K9" s="26">
        <f>IF(Y9*DAY(EOMONTH(DATE($B9,$K$2,1),0))*24*3600/$AE$2/10^6&gt;$AE$3,$AE$3,Y9*DAY(EOMONTH(DATE($B9,$K$2,1),0))*24*3600/$AE$2/10^6)</f>
        <v/>
      </c>
      <c r="L9" s="26">
        <f>IF(Z9*DAY(EOMONTH(DATE($B9,$L$2,1),0))*24*3600/$AE$2/10^6&gt;$AE$3,$AE$3,Z9*DAY(EOMONTH(DATE($B9,$L$2,1),0))*24*3600/$AE$2/10^6)</f>
        <v/>
      </c>
      <c r="M9" s="26">
        <f>IF(AA9*DAY(EOMONTH(DATE($B9,$M$2,1),0))*24*3600/$AE$2/10^6&gt;$AE$3,$AE$3,AA9*DAY(EOMONTH(DATE($B9,$M$2,1),0))*24*3600/$AE$2/10^6)</f>
        <v/>
      </c>
      <c r="N9" s="26">
        <f>IF(AB9*DAY(EOMONTH(DATE($B9,$N$2,1),0))*24*3600/$AE$2/10^6&gt;$AE$3,$AE$3,AB9*DAY(EOMONTH(DATE($B9,$N$2,1),0))*24*3600/$AE$2/10^6)</f>
        <v/>
      </c>
      <c r="O9" s="27">
        <f>SUM(C9:N9)</f>
        <v/>
      </c>
      <c r="Q9" s="28" t="n">
        <v>72.2</v>
      </c>
      <c r="R9" s="28" t="n">
        <v>53.5</v>
      </c>
      <c r="S9" s="28" t="n">
        <v>41.4</v>
      </c>
      <c r="T9" s="28" t="n">
        <v>33.4</v>
      </c>
      <c r="U9" s="28" t="n">
        <v>50.2</v>
      </c>
      <c r="V9" s="28" t="n">
        <v>79.7</v>
      </c>
      <c r="W9" s="28" t="n">
        <v>88.40000000000001</v>
      </c>
      <c r="X9" s="28" t="n">
        <v>190.8</v>
      </c>
      <c r="Y9" s="28" t="n">
        <v>202.3</v>
      </c>
      <c r="Z9" s="28" t="n">
        <v>515</v>
      </c>
      <c r="AA9" s="28" t="n">
        <v>348.2</v>
      </c>
      <c r="AB9" s="28" t="n">
        <v>147.2</v>
      </c>
    </row>
    <row r="10">
      <c r="B10" t="n">
        <v>1984</v>
      </c>
      <c r="C10" s="26">
        <f>IF(Q10*DAY(EOMONTH(DATE($B10,$C$2,1),0))*24*3600/$AE$2/10^6&gt;$AE$3,$AE$3,Q10*DAY(EOMONTH(DATE($B10,$C$2,1),0))*24*3600/$AE$2/10^6)</f>
        <v/>
      </c>
      <c r="D10" s="26">
        <f>IF(R10*DAY(EOMONTH(DATE($B10,$D$2,1),0))*24*3600/$AE$2/10^6&gt;$AE$3,$AE$3,R10*DAY(EOMONTH(DATE($B10,$D$2,1),0))*24*3600/$AE$2/10^6)</f>
        <v/>
      </c>
      <c r="E10" s="26">
        <f>IF(S10*DAY(EOMONTH(DATE($B10,$E$2,1),0))*24*3600/$AE$2/10^6&gt;$AE$3,$AE$3,S10*DAY(EOMONTH(DATE($B10,$E$2,1),0))*24*3600/$AE$2/10^6)</f>
        <v/>
      </c>
      <c r="F10" s="26">
        <f>IF(T10*DAY(EOMONTH(DATE($B10,$F$2,1),0))*24*3600/$AE$2/10^6&gt;$AE$3,$AE$3,T10*DAY(EOMONTH(DATE($B10,$F$2,1),0))*24*3600/$AE$2/10^6)</f>
        <v/>
      </c>
      <c r="G10" s="26">
        <f>IF(U10*DAY(EOMONTH(DATE($B10,$G$2,1),0))*24*3600/$AE$2/10^6&gt;$AE$3,$AE$3,U10*DAY(EOMONTH(DATE($B10,$G$2,1),0))*24*3600/$AE$2/10^6)</f>
        <v/>
      </c>
      <c r="H10" s="26">
        <f>IF(V10*DAY(EOMONTH(DATE($B10,$H$2,1),0))*24*3600/$AE$2/10^6&gt;$AE$3,$AE$3,V10*DAY(EOMONTH(DATE($B10,$H$2,1),0))*24*3600/$AE$2/10^6)</f>
        <v/>
      </c>
      <c r="I10" s="26">
        <f>IF(W10*DAY(EOMONTH(DATE($B10,$I$2,1),0))*24*3600/$AE$2/10^6&gt;$AE$3,$AE$3,W10*DAY(EOMONTH(DATE($B10,$I$2,1),0))*24*3600/$AE$2/10^6)</f>
        <v/>
      </c>
      <c r="J10" s="26">
        <f>IF(X10*DAY(EOMONTH(DATE($B10,$J$2,1),0))*24*3600/$AE$2/10^6&gt;$AE$3,$AE$3,X10*DAY(EOMONTH(DATE($B10,$J$2,1),0))*24*3600/$AE$2/10^6)</f>
        <v/>
      </c>
      <c r="K10" s="26">
        <f>IF(Y10*DAY(EOMONTH(DATE($B10,$K$2,1),0))*24*3600/$AE$2/10^6&gt;$AE$3,$AE$3,Y10*DAY(EOMONTH(DATE($B10,$K$2,1),0))*24*3600/$AE$2/10^6)</f>
        <v/>
      </c>
      <c r="L10" s="26">
        <f>IF(Z10*DAY(EOMONTH(DATE($B10,$L$2,1),0))*24*3600/$AE$2/10^6&gt;$AE$3,$AE$3,Z10*DAY(EOMONTH(DATE($B10,$L$2,1),0))*24*3600/$AE$2/10^6)</f>
        <v/>
      </c>
      <c r="M10" s="26">
        <f>IF(AA10*DAY(EOMONTH(DATE($B10,$M$2,1),0))*24*3600/$AE$2/10^6&gt;$AE$3,$AE$3,AA10*DAY(EOMONTH(DATE($B10,$M$2,1),0))*24*3600/$AE$2/10^6)</f>
        <v/>
      </c>
      <c r="N10" s="26">
        <f>IF(AB10*DAY(EOMONTH(DATE($B10,$N$2,1),0))*24*3600/$AE$2/10^6&gt;$AE$3,$AE$3,AB10*DAY(EOMONTH(DATE($B10,$N$2,1),0))*24*3600/$AE$2/10^6)</f>
        <v/>
      </c>
      <c r="O10" s="27">
        <f>SUM(C10:N10)</f>
        <v/>
      </c>
      <c r="Q10" s="28" t="n">
        <v>101.6</v>
      </c>
      <c r="R10" s="28" t="n">
        <v>75.5</v>
      </c>
      <c r="S10" s="28" t="n">
        <v>51.2</v>
      </c>
      <c r="T10" s="28" t="n">
        <v>57.9</v>
      </c>
      <c r="U10" s="28" t="n">
        <v>104.6</v>
      </c>
      <c r="V10" s="28" t="n">
        <v>164.8</v>
      </c>
      <c r="W10" s="28" t="n">
        <v>190.4</v>
      </c>
      <c r="X10" s="28" t="n">
        <v>416.5</v>
      </c>
      <c r="Y10" s="28" t="n">
        <v>441.9</v>
      </c>
      <c r="Z10" s="28" t="n">
        <v>526.4</v>
      </c>
      <c r="AA10" s="28" t="n">
        <v>273.4</v>
      </c>
      <c r="AB10" s="28" t="n">
        <v>230.4</v>
      </c>
    </row>
    <row r="11">
      <c r="B11" t="n">
        <v>1985</v>
      </c>
      <c r="C11" s="26">
        <f>IF(Q11*DAY(EOMONTH(DATE($B11,$C$2,1),0))*24*3600/$AE$2/10^6&gt;$AE$3,$AE$3,Q11*DAY(EOMONTH(DATE($B11,$C$2,1),0))*24*3600/$AE$2/10^6)</f>
        <v/>
      </c>
      <c r="D11" s="26">
        <f>IF(R11*DAY(EOMONTH(DATE($B11,$D$2,1),0))*24*3600/$AE$2/10^6&gt;$AE$3,$AE$3,R11*DAY(EOMONTH(DATE($B11,$D$2,1),0))*24*3600/$AE$2/10^6)</f>
        <v/>
      </c>
      <c r="E11" s="26">
        <f>IF(S11*DAY(EOMONTH(DATE($B11,$E$2,1),0))*24*3600/$AE$2/10^6&gt;$AE$3,$AE$3,S11*DAY(EOMONTH(DATE($B11,$E$2,1),0))*24*3600/$AE$2/10^6)</f>
        <v/>
      </c>
      <c r="F11" s="26">
        <f>IF(T11*DAY(EOMONTH(DATE($B11,$F$2,1),0))*24*3600/$AE$2/10^6&gt;$AE$3,$AE$3,T11*DAY(EOMONTH(DATE($B11,$F$2,1),0))*24*3600/$AE$2/10^6)</f>
        <v/>
      </c>
      <c r="G11" s="26">
        <f>IF(U11*DAY(EOMONTH(DATE($B11,$G$2,1),0))*24*3600/$AE$2/10^6&gt;$AE$3,$AE$3,U11*DAY(EOMONTH(DATE($B11,$G$2,1),0))*24*3600/$AE$2/10^6)</f>
        <v/>
      </c>
      <c r="H11" s="26">
        <f>IF(V11*DAY(EOMONTH(DATE($B11,$H$2,1),0))*24*3600/$AE$2/10^6&gt;$AE$3,$AE$3,V11*DAY(EOMONTH(DATE($B11,$H$2,1),0))*24*3600/$AE$2/10^6)</f>
        <v/>
      </c>
      <c r="I11" s="26">
        <f>IF(W11*DAY(EOMONTH(DATE($B11,$I$2,1),0))*24*3600/$AE$2/10^6&gt;$AE$3,$AE$3,W11*DAY(EOMONTH(DATE($B11,$I$2,1),0))*24*3600/$AE$2/10^6)</f>
        <v/>
      </c>
      <c r="J11" s="26">
        <f>IF(X11*DAY(EOMONTH(DATE($B11,$J$2,1),0))*24*3600/$AE$2/10^6&gt;$AE$3,$AE$3,X11*DAY(EOMONTH(DATE($B11,$J$2,1),0))*24*3600/$AE$2/10^6)</f>
        <v/>
      </c>
      <c r="K11" s="26">
        <f>IF(Y11*DAY(EOMONTH(DATE($B11,$K$2,1),0))*24*3600/$AE$2/10^6&gt;$AE$3,$AE$3,Y11*DAY(EOMONTH(DATE($B11,$K$2,1),0))*24*3600/$AE$2/10^6)</f>
        <v/>
      </c>
      <c r="L11" s="26">
        <f>IF(Z11*DAY(EOMONTH(DATE($B11,$L$2,1),0))*24*3600/$AE$2/10^6&gt;$AE$3,$AE$3,Z11*DAY(EOMONTH(DATE($B11,$L$2,1),0))*24*3600/$AE$2/10^6)</f>
        <v/>
      </c>
      <c r="M11" s="26">
        <f>IF(AA11*DAY(EOMONTH(DATE($B11,$M$2,1),0))*24*3600/$AE$2/10^6&gt;$AE$3,$AE$3,AA11*DAY(EOMONTH(DATE($B11,$M$2,1),0))*24*3600/$AE$2/10^6)</f>
        <v/>
      </c>
      <c r="N11" s="26">
        <f>IF(AB11*DAY(EOMONTH(DATE($B11,$N$2,1),0))*24*3600/$AE$2/10^6&gt;$AE$3,$AE$3,AB11*DAY(EOMONTH(DATE($B11,$N$2,1),0))*24*3600/$AE$2/10^6)</f>
        <v/>
      </c>
      <c r="O11" s="27">
        <f>SUM(C11:N11)</f>
        <v/>
      </c>
      <c r="Q11" s="28" t="n">
        <v>113.5</v>
      </c>
      <c r="R11" s="28" t="n">
        <v>77.59999999999999</v>
      </c>
      <c r="S11" s="28" t="n">
        <v>59.6</v>
      </c>
      <c r="T11" s="28" t="n">
        <v>76.40000000000001</v>
      </c>
      <c r="U11" s="28" t="n">
        <v>114.8</v>
      </c>
      <c r="V11" s="28" t="n">
        <v>133.8</v>
      </c>
      <c r="W11" s="28" t="n">
        <v>186.8</v>
      </c>
      <c r="X11" s="28" t="n">
        <v>198.5</v>
      </c>
      <c r="Y11" s="28" t="n">
        <v>284.2</v>
      </c>
      <c r="Z11" s="28" t="n">
        <v>315.9</v>
      </c>
      <c r="AA11" s="28" t="n">
        <v>180.4</v>
      </c>
      <c r="AB11" s="28" t="n">
        <v>240.2</v>
      </c>
    </row>
    <row r="12">
      <c r="B12" t="n">
        <v>1986</v>
      </c>
      <c r="C12" s="26">
        <f>IF(Q12*DAY(EOMONTH(DATE($B12,$C$2,1),0))*24*3600/$AE$2/10^6&gt;$AE$3,$AE$3,Q12*DAY(EOMONTH(DATE($B12,$C$2,1),0))*24*3600/$AE$2/10^6)</f>
        <v/>
      </c>
      <c r="D12" s="26">
        <f>IF(R12*DAY(EOMONTH(DATE($B12,$D$2,1),0))*24*3600/$AE$2/10^6&gt;$AE$3,$AE$3,R12*DAY(EOMONTH(DATE($B12,$D$2,1),0))*24*3600/$AE$2/10^6)</f>
        <v/>
      </c>
      <c r="E12" s="26">
        <f>IF(S12*DAY(EOMONTH(DATE($B12,$E$2,1),0))*24*3600/$AE$2/10^6&gt;$AE$3,$AE$3,S12*DAY(EOMONTH(DATE($B12,$E$2,1),0))*24*3600/$AE$2/10^6)</f>
        <v/>
      </c>
      <c r="F12" s="26">
        <f>IF(T12*DAY(EOMONTH(DATE($B12,$F$2,1),0))*24*3600/$AE$2/10^6&gt;$AE$3,$AE$3,T12*DAY(EOMONTH(DATE($B12,$F$2,1),0))*24*3600/$AE$2/10^6)</f>
        <v/>
      </c>
      <c r="G12" s="26">
        <f>IF(U12*DAY(EOMONTH(DATE($B12,$G$2,1),0))*24*3600/$AE$2/10^6&gt;$AE$3,$AE$3,U12*DAY(EOMONTH(DATE($B12,$G$2,1),0))*24*3600/$AE$2/10^6)</f>
        <v/>
      </c>
      <c r="H12" s="26">
        <f>IF(V12*DAY(EOMONTH(DATE($B12,$H$2,1),0))*24*3600/$AE$2/10^6&gt;$AE$3,$AE$3,V12*DAY(EOMONTH(DATE($B12,$H$2,1),0))*24*3600/$AE$2/10^6)</f>
        <v/>
      </c>
      <c r="I12" s="26">
        <f>IF(W12*DAY(EOMONTH(DATE($B12,$I$2,1),0))*24*3600/$AE$2/10^6&gt;$AE$3,$AE$3,W12*DAY(EOMONTH(DATE($B12,$I$2,1),0))*24*3600/$AE$2/10^6)</f>
        <v/>
      </c>
      <c r="J12" s="26">
        <f>IF(X12*DAY(EOMONTH(DATE($B12,$J$2,1),0))*24*3600/$AE$2/10^6&gt;$AE$3,$AE$3,X12*DAY(EOMONTH(DATE($B12,$J$2,1),0))*24*3600/$AE$2/10^6)</f>
        <v/>
      </c>
      <c r="K12" s="26">
        <f>IF(Y12*DAY(EOMONTH(DATE($B12,$K$2,1),0))*24*3600/$AE$2/10^6&gt;$AE$3,$AE$3,Y12*DAY(EOMONTH(DATE($B12,$K$2,1),0))*24*3600/$AE$2/10^6)</f>
        <v/>
      </c>
      <c r="L12" s="26">
        <f>IF(Z12*DAY(EOMONTH(DATE($B12,$L$2,1),0))*24*3600/$AE$2/10^6&gt;$AE$3,$AE$3,Z12*DAY(EOMONTH(DATE($B12,$L$2,1),0))*24*3600/$AE$2/10^6)</f>
        <v/>
      </c>
      <c r="M12" s="26">
        <f>IF(AA12*DAY(EOMONTH(DATE($B12,$M$2,1),0))*24*3600/$AE$2/10^6&gt;$AE$3,$AE$3,AA12*DAY(EOMONTH(DATE($B12,$M$2,1),0))*24*3600/$AE$2/10^6)</f>
        <v/>
      </c>
      <c r="N12" s="26">
        <f>IF(AB12*DAY(EOMONTH(DATE($B12,$N$2,1),0))*24*3600/$AE$2/10^6&gt;$AE$3,$AE$3,AB12*DAY(EOMONTH(DATE($B12,$N$2,1),0))*24*3600/$AE$2/10^6)</f>
        <v/>
      </c>
      <c r="O12" s="27">
        <f>SUM(C12:N12)</f>
        <v/>
      </c>
      <c r="Q12" s="28" t="n">
        <v>102.5</v>
      </c>
      <c r="R12" s="28" t="n">
        <v>72.3</v>
      </c>
      <c r="S12" s="28" t="n">
        <v>58</v>
      </c>
      <c r="T12" s="28" t="n">
        <v>49.2</v>
      </c>
      <c r="U12" s="28" t="n">
        <v>63.7</v>
      </c>
      <c r="V12" s="28" t="n">
        <v>79.3</v>
      </c>
      <c r="W12" s="28" t="n">
        <v>134.7</v>
      </c>
      <c r="X12" s="28" t="n">
        <v>372.1</v>
      </c>
      <c r="Y12" s="28" t="n">
        <v>322.1</v>
      </c>
      <c r="Z12" s="28" t="n">
        <v>338.1</v>
      </c>
      <c r="AA12" s="28" t="n">
        <v>201.6</v>
      </c>
      <c r="AB12" s="28" t="n">
        <v>313.1</v>
      </c>
    </row>
    <row r="13">
      <c r="B13" t="n">
        <v>1987</v>
      </c>
      <c r="C13" s="26">
        <f>IF(Q13*DAY(EOMONTH(DATE($B13,$C$2,1),0))*24*3600/$AE$2/10^6&gt;$AE$3,$AE$3,Q13*DAY(EOMONTH(DATE($B13,$C$2,1),0))*24*3600/$AE$2/10^6)</f>
        <v/>
      </c>
      <c r="D13" s="26">
        <f>IF(R13*DAY(EOMONTH(DATE($B13,$D$2,1),0))*24*3600/$AE$2/10^6&gt;$AE$3,$AE$3,R13*DAY(EOMONTH(DATE($B13,$D$2,1),0))*24*3600/$AE$2/10^6)</f>
        <v/>
      </c>
      <c r="E13" s="26">
        <f>IF(S13*DAY(EOMONTH(DATE($B13,$E$2,1),0))*24*3600/$AE$2/10^6&gt;$AE$3,$AE$3,S13*DAY(EOMONTH(DATE($B13,$E$2,1),0))*24*3600/$AE$2/10^6)</f>
        <v/>
      </c>
      <c r="F13" s="26">
        <f>IF(T13*DAY(EOMONTH(DATE($B13,$F$2,1),0))*24*3600/$AE$2/10^6&gt;$AE$3,$AE$3,T13*DAY(EOMONTH(DATE($B13,$F$2,1),0))*24*3600/$AE$2/10^6)</f>
        <v/>
      </c>
      <c r="G13" s="26">
        <f>IF(U13*DAY(EOMONTH(DATE($B13,$G$2,1),0))*24*3600/$AE$2/10^6&gt;$AE$3,$AE$3,U13*DAY(EOMONTH(DATE($B13,$G$2,1),0))*24*3600/$AE$2/10^6)</f>
        <v/>
      </c>
      <c r="H13" s="26">
        <f>IF(V13*DAY(EOMONTH(DATE($B13,$H$2,1),0))*24*3600/$AE$2/10^6&gt;$AE$3,$AE$3,V13*DAY(EOMONTH(DATE($B13,$H$2,1),0))*24*3600/$AE$2/10^6)</f>
        <v/>
      </c>
      <c r="I13" s="26">
        <f>IF(W13*DAY(EOMONTH(DATE($B13,$I$2,1),0))*24*3600/$AE$2/10^6&gt;$AE$3,$AE$3,W13*DAY(EOMONTH(DATE($B13,$I$2,1),0))*24*3600/$AE$2/10^6)</f>
        <v/>
      </c>
      <c r="J13" s="26">
        <f>IF(X13*DAY(EOMONTH(DATE($B13,$J$2,1),0))*24*3600/$AE$2/10^6&gt;$AE$3,$AE$3,X13*DAY(EOMONTH(DATE($B13,$J$2,1),0))*24*3600/$AE$2/10^6)</f>
        <v/>
      </c>
      <c r="K13" s="26">
        <f>IF(Y13*DAY(EOMONTH(DATE($B13,$K$2,1),0))*24*3600/$AE$2/10^6&gt;$AE$3,$AE$3,Y13*DAY(EOMONTH(DATE($B13,$K$2,1),0))*24*3600/$AE$2/10^6)</f>
        <v/>
      </c>
      <c r="L13" s="26">
        <f>IF(Z13*DAY(EOMONTH(DATE($B13,$L$2,1),0))*24*3600/$AE$2/10^6&gt;$AE$3,$AE$3,Z13*DAY(EOMONTH(DATE($B13,$L$2,1),0))*24*3600/$AE$2/10^6)</f>
        <v/>
      </c>
      <c r="M13" s="26">
        <f>IF(AA13*DAY(EOMONTH(DATE($B13,$M$2,1),0))*24*3600/$AE$2/10^6&gt;$AE$3,$AE$3,AA13*DAY(EOMONTH(DATE($B13,$M$2,1),0))*24*3600/$AE$2/10^6)</f>
        <v/>
      </c>
      <c r="N13" s="26">
        <f>IF(AB13*DAY(EOMONTH(DATE($B13,$N$2,1),0))*24*3600/$AE$2/10^6&gt;$AE$3,$AE$3,AB13*DAY(EOMONTH(DATE($B13,$N$2,1),0))*24*3600/$AE$2/10^6)</f>
        <v/>
      </c>
      <c r="O13" s="27">
        <f>SUM(C13:N13)</f>
        <v/>
      </c>
      <c r="Q13" s="28" t="n">
        <v>122</v>
      </c>
      <c r="R13" s="28" t="n">
        <v>77.5</v>
      </c>
      <c r="S13" s="28" t="n">
        <v>61.3</v>
      </c>
      <c r="T13" s="28" t="n">
        <v>46.5</v>
      </c>
      <c r="U13" s="28" t="n">
        <v>55.2</v>
      </c>
      <c r="V13" s="28" t="n">
        <v>122</v>
      </c>
      <c r="W13" s="28" t="n">
        <v>216.3</v>
      </c>
      <c r="X13" s="28" t="n">
        <v>200.3</v>
      </c>
      <c r="Y13" s="28" t="n">
        <v>371.8</v>
      </c>
      <c r="Z13" s="28" t="n">
        <v>267.2</v>
      </c>
      <c r="AA13" s="28" t="n">
        <v>217.5</v>
      </c>
      <c r="AB13" s="28" t="n">
        <v>196.1</v>
      </c>
    </row>
    <row r="14">
      <c r="B14" t="n">
        <v>1988</v>
      </c>
      <c r="C14" s="26">
        <f>IF(Q14*DAY(EOMONTH(DATE($B14,$C$2,1),0))*24*3600/$AE$2/10^6&gt;$AE$3,$AE$3,Q14*DAY(EOMONTH(DATE($B14,$C$2,1),0))*24*3600/$AE$2/10^6)</f>
        <v/>
      </c>
      <c r="D14" s="26">
        <f>IF(R14*DAY(EOMONTH(DATE($B14,$D$2,1),0))*24*3600/$AE$2/10^6&gt;$AE$3,$AE$3,R14*DAY(EOMONTH(DATE($B14,$D$2,1),0))*24*3600/$AE$2/10^6)</f>
        <v/>
      </c>
      <c r="E14" s="26">
        <f>IF(S14*DAY(EOMONTH(DATE($B14,$E$2,1),0))*24*3600/$AE$2/10^6&gt;$AE$3,$AE$3,S14*DAY(EOMONTH(DATE($B14,$E$2,1),0))*24*3600/$AE$2/10^6)</f>
        <v/>
      </c>
      <c r="F14" s="26">
        <f>IF(T14*DAY(EOMONTH(DATE($B14,$F$2,1),0))*24*3600/$AE$2/10^6&gt;$AE$3,$AE$3,T14*DAY(EOMONTH(DATE($B14,$F$2,1),0))*24*3600/$AE$2/10^6)</f>
        <v/>
      </c>
      <c r="G14" s="26">
        <f>IF(U14*DAY(EOMONTH(DATE($B14,$G$2,1),0))*24*3600/$AE$2/10^6&gt;$AE$3,$AE$3,U14*DAY(EOMONTH(DATE($B14,$G$2,1),0))*24*3600/$AE$2/10^6)</f>
        <v/>
      </c>
      <c r="H14" s="26">
        <f>IF(V14*DAY(EOMONTH(DATE($B14,$H$2,1),0))*24*3600/$AE$2/10^6&gt;$AE$3,$AE$3,V14*DAY(EOMONTH(DATE($B14,$H$2,1),0))*24*3600/$AE$2/10^6)</f>
        <v/>
      </c>
      <c r="I14" s="26">
        <f>IF(W14*DAY(EOMONTH(DATE($B14,$I$2,1),0))*24*3600/$AE$2/10^6&gt;$AE$3,$AE$3,W14*DAY(EOMONTH(DATE($B14,$I$2,1),0))*24*3600/$AE$2/10^6)</f>
        <v/>
      </c>
      <c r="J14" s="26">
        <f>IF(X14*DAY(EOMONTH(DATE($B14,$J$2,1),0))*24*3600/$AE$2/10^6&gt;$AE$3,$AE$3,X14*DAY(EOMONTH(DATE($B14,$J$2,1),0))*24*3600/$AE$2/10^6)</f>
        <v/>
      </c>
      <c r="K14" s="26">
        <f>IF(Y14*DAY(EOMONTH(DATE($B14,$K$2,1),0))*24*3600/$AE$2/10^6&gt;$AE$3,$AE$3,Y14*DAY(EOMONTH(DATE($B14,$K$2,1),0))*24*3600/$AE$2/10^6)</f>
        <v/>
      </c>
      <c r="L14" s="26">
        <f>IF(Z14*DAY(EOMONTH(DATE($B14,$L$2,1),0))*24*3600/$AE$2/10^6&gt;$AE$3,$AE$3,Z14*DAY(EOMONTH(DATE($B14,$L$2,1),0))*24*3600/$AE$2/10^6)</f>
        <v/>
      </c>
      <c r="M14" s="26">
        <f>IF(AA14*DAY(EOMONTH(DATE($B14,$M$2,1),0))*24*3600/$AE$2/10^6&gt;$AE$3,$AE$3,AA14*DAY(EOMONTH(DATE($B14,$M$2,1),0))*24*3600/$AE$2/10^6)</f>
        <v/>
      </c>
      <c r="N14" s="26">
        <f>IF(AB14*DAY(EOMONTH(DATE($B14,$N$2,1),0))*24*3600/$AE$2/10^6&gt;$AE$3,$AE$3,AB14*DAY(EOMONTH(DATE($B14,$N$2,1),0))*24*3600/$AE$2/10^6)</f>
        <v/>
      </c>
      <c r="O14" s="27">
        <f>SUM(C14:N14)</f>
        <v/>
      </c>
      <c r="Q14" s="28" t="n">
        <v>104.4</v>
      </c>
      <c r="R14" s="28" t="n">
        <v>69.7</v>
      </c>
      <c r="S14" s="28" t="n">
        <v>49.6</v>
      </c>
      <c r="T14" s="28" t="n">
        <v>49.1</v>
      </c>
      <c r="U14" s="28" t="n">
        <v>87.5</v>
      </c>
      <c r="V14" s="28" t="n">
        <v>132</v>
      </c>
      <c r="W14" s="28" t="n">
        <v>153.8</v>
      </c>
      <c r="X14" s="28" t="n">
        <v>184</v>
      </c>
      <c r="Y14" s="28" t="n">
        <v>285.8</v>
      </c>
      <c r="Z14" s="28" t="n">
        <v>542.9</v>
      </c>
      <c r="AA14" s="28" t="n">
        <v>514.2</v>
      </c>
      <c r="AB14" s="28" t="n">
        <v>217</v>
      </c>
    </row>
    <row r="15">
      <c r="B15" t="n">
        <v>1989</v>
      </c>
      <c r="C15" s="26">
        <f>IF(Q15*DAY(EOMONTH(DATE($B15,$C$2,1),0))*24*3600/$AE$2/10^6&gt;$AE$3,$AE$3,Q15*DAY(EOMONTH(DATE($B15,$C$2,1),0))*24*3600/$AE$2/10^6)</f>
        <v/>
      </c>
      <c r="D15" s="26">
        <f>IF(R15*DAY(EOMONTH(DATE($B15,$D$2,1),0))*24*3600/$AE$2/10^6&gt;$AE$3,$AE$3,R15*DAY(EOMONTH(DATE($B15,$D$2,1),0))*24*3600/$AE$2/10^6)</f>
        <v/>
      </c>
      <c r="E15" s="26">
        <f>IF(S15*DAY(EOMONTH(DATE($B15,$E$2,1),0))*24*3600/$AE$2/10^6&gt;$AE$3,$AE$3,S15*DAY(EOMONTH(DATE($B15,$E$2,1),0))*24*3600/$AE$2/10^6)</f>
        <v/>
      </c>
      <c r="F15" s="26">
        <f>IF(T15*DAY(EOMONTH(DATE($B15,$F$2,1),0))*24*3600/$AE$2/10^6&gt;$AE$3,$AE$3,T15*DAY(EOMONTH(DATE($B15,$F$2,1),0))*24*3600/$AE$2/10^6)</f>
        <v/>
      </c>
      <c r="G15" s="26">
        <f>IF(U15*DAY(EOMONTH(DATE($B15,$G$2,1),0))*24*3600/$AE$2/10^6&gt;$AE$3,$AE$3,U15*DAY(EOMONTH(DATE($B15,$G$2,1),0))*24*3600/$AE$2/10^6)</f>
        <v/>
      </c>
      <c r="H15" s="26">
        <f>IF(V15*DAY(EOMONTH(DATE($B15,$H$2,1),0))*24*3600/$AE$2/10^6&gt;$AE$3,$AE$3,V15*DAY(EOMONTH(DATE($B15,$H$2,1),0))*24*3600/$AE$2/10^6)</f>
        <v/>
      </c>
      <c r="I15" s="26">
        <f>IF(W15*DAY(EOMONTH(DATE($B15,$I$2,1),0))*24*3600/$AE$2/10^6&gt;$AE$3,$AE$3,W15*DAY(EOMONTH(DATE($B15,$I$2,1),0))*24*3600/$AE$2/10^6)</f>
        <v/>
      </c>
      <c r="J15" s="26">
        <f>IF(X15*DAY(EOMONTH(DATE($B15,$J$2,1),0))*24*3600/$AE$2/10^6&gt;$AE$3,$AE$3,X15*DAY(EOMONTH(DATE($B15,$J$2,1),0))*24*3600/$AE$2/10^6)</f>
        <v/>
      </c>
      <c r="K15" s="26">
        <f>IF(Y15*DAY(EOMONTH(DATE($B15,$K$2,1),0))*24*3600/$AE$2/10^6&gt;$AE$3,$AE$3,Y15*DAY(EOMONTH(DATE($B15,$K$2,1),0))*24*3600/$AE$2/10^6)</f>
        <v/>
      </c>
      <c r="L15" s="26">
        <f>IF(Z15*DAY(EOMONTH(DATE($B15,$L$2,1),0))*24*3600/$AE$2/10^6&gt;$AE$3,$AE$3,Z15*DAY(EOMONTH(DATE($B15,$L$2,1),0))*24*3600/$AE$2/10^6)</f>
        <v/>
      </c>
      <c r="M15" s="26">
        <f>IF(AA15*DAY(EOMONTH(DATE($B15,$M$2,1),0))*24*3600/$AE$2/10^6&gt;$AE$3,$AE$3,AA15*DAY(EOMONTH(DATE($B15,$M$2,1),0))*24*3600/$AE$2/10^6)</f>
        <v/>
      </c>
      <c r="N15" s="26">
        <f>IF(AB15*DAY(EOMONTH(DATE($B15,$N$2,1),0))*24*3600/$AE$2/10^6&gt;$AE$3,$AE$3,AB15*DAY(EOMONTH(DATE($B15,$N$2,1),0))*24*3600/$AE$2/10^6)</f>
        <v/>
      </c>
      <c r="O15" s="27">
        <f>SUM(C15:N15)</f>
        <v/>
      </c>
      <c r="Q15" s="28" t="n">
        <v>130.6</v>
      </c>
      <c r="R15" s="28" t="n">
        <v>77.90000000000001</v>
      </c>
      <c r="S15" s="28" t="n">
        <v>71</v>
      </c>
      <c r="T15" s="28" t="n">
        <v>74.3</v>
      </c>
      <c r="U15" s="28" t="n">
        <v>153.4</v>
      </c>
      <c r="V15" s="28" t="n">
        <v>243.9</v>
      </c>
      <c r="W15" s="28" t="n">
        <v>280.8</v>
      </c>
      <c r="X15" s="28" t="n">
        <v>377.7</v>
      </c>
      <c r="Y15" s="28" t="n">
        <v>478.9</v>
      </c>
      <c r="Z15" s="28" t="n">
        <v>434.1</v>
      </c>
      <c r="AA15" s="28" t="n">
        <v>243.7</v>
      </c>
      <c r="AB15" s="28" t="n">
        <v>139.5</v>
      </c>
    </row>
    <row r="16">
      <c r="B16" t="n">
        <v>1990</v>
      </c>
      <c r="C16" s="26">
        <f>IF(Q16*DAY(EOMONTH(DATE($B16,$C$2,1),0))*24*3600/$AE$2/10^6&gt;$AE$3,$AE$3,Q16*DAY(EOMONTH(DATE($B16,$C$2,1),0))*24*3600/$AE$2/10^6)</f>
        <v/>
      </c>
      <c r="D16" s="26">
        <f>IF(R16*DAY(EOMONTH(DATE($B16,$D$2,1),0))*24*3600/$AE$2/10^6&gt;$AE$3,$AE$3,R16*DAY(EOMONTH(DATE($B16,$D$2,1),0))*24*3600/$AE$2/10^6)</f>
        <v/>
      </c>
      <c r="E16" s="26">
        <f>IF(S16*DAY(EOMONTH(DATE($B16,$E$2,1),0))*24*3600/$AE$2/10^6&gt;$AE$3,$AE$3,S16*DAY(EOMONTH(DATE($B16,$E$2,1),0))*24*3600/$AE$2/10^6)</f>
        <v/>
      </c>
      <c r="F16" s="26">
        <f>IF(T16*DAY(EOMONTH(DATE($B16,$F$2,1),0))*24*3600/$AE$2/10^6&gt;$AE$3,$AE$3,T16*DAY(EOMONTH(DATE($B16,$F$2,1),0))*24*3600/$AE$2/10^6)</f>
        <v/>
      </c>
      <c r="G16" s="26">
        <f>IF(U16*DAY(EOMONTH(DATE($B16,$G$2,1),0))*24*3600/$AE$2/10^6&gt;$AE$3,$AE$3,U16*DAY(EOMONTH(DATE($B16,$G$2,1),0))*24*3600/$AE$2/10^6)</f>
        <v/>
      </c>
      <c r="H16" s="26">
        <f>IF(V16*DAY(EOMONTH(DATE($B16,$H$2,1),0))*24*3600/$AE$2/10^6&gt;$AE$3,$AE$3,V16*DAY(EOMONTH(DATE($B16,$H$2,1),0))*24*3600/$AE$2/10^6)</f>
        <v/>
      </c>
      <c r="I16" s="26">
        <f>IF(W16*DAY(EOMONTH(DATE($B16,$I$2,1),0))*24*3600/$AE$2/10^6&gt;$AE$3,$AE$3,W16*DAY(EOMONTH(DATE($B16,$I$2,1),0))*24*3600/$AE$2/10^6)</f>
        <v/>
      </c>
      <c r="J16" s="26">
        <f>IF(X16*DAY(EOMONTH(DATE($B16,$J$2,1),0))*24*3600/$AE$2/10^6&gt;$AE$3,$AE$3,X16*DAY(EOMONTH(DATE($B16,$J$2,1),0))*24*3600/$AE$2/10^6)</f>
        <v/>
      </c>
      <c r="K16" s="26">
        <f>IF(Y16*DAY(EOMONTH(DATE($B16,$K$2,1),0))*24*3600/$AE$2/10^6&gt;$AE$3,$AE$3,Y16*DAY(EOMONTH(DATE($B16,$K$2,1),0))*24*3600/$AE$2/10^6)</f>
        <v/>
      </c>
      <c r="L16" s="26">
        <f>IF(Z16*DAY(EOMONTH(DATE($B16,$L$2,1),0))*24*3600/$AE$2/10^6&gt;$AE$3,$AE$3,Z16*DAY(EOMONTH(DATE($B16,$L$2,1),0))*24*3600/$AE$2/10^6)</f>
        <v/>
      </c>
      <c r="M16" s="26">
        <f>IF(AA16*DAY(EOMONTH(DATE($B16,$M$2,1),0))*24*3600/$AE$2/10^6&gt;$AE$3,$AE$3,AA16*DAY(EOMONTH(DATE($B16,$M$2,1),0))*24*3600/$AE$2/10^6)</f>
        <v/>
      </c>
      <c r="N16" s="26">
        <f>IF(AB16*DAY(EOMONTH(DATE($B16,$N$2,1),0))*24*3600/$AE$2/10^6&gt;$AE$3,$AE$3,AB16*DAY(EOMONTH(DATE($B16,$N$2,1),0))*24*3600/$AE$2/10^6)</f>
        <v/>
      </c>
      <c r="O16" s="27">
        <f>SUM(C16:N16)</f>
        <v/>
      </c>
      <c r="Q16" s="28" t="n">
        <v>75</v>
      </c>
      <c r="R16" s="28" t="n">
        <v>48.7</v>
      </c>
      <c r="S16" s="28" t="n">
        <v>37.9</v>
      </c>
      <c r="T16" s="28" t="n">
        <v>42.9</v>
      </c>
      <c r="U16" s="28" t="n">
        <v>58.8</v>
      </c>
      <c r="V16" s="28" t="n">
        <v>313.9</v>
      </c>
      <c r="W16" s="28" t="n">
        <v>254.6</v>
      </c>
      <c r="X16" s="28" t="n">
        <v>376.7</v>
      </c>
      <c r="Y16" s="28" t="n">
        <v>519.7</v>
      </c>
      <c r="Z16" s="28" t="n">
        <v>373.7</v>
      </c>
      <c r="AA16" s="28" t="n">
        <v>526.4</v>
      </c>
      <c r="AB16" s="28" t="n">
        <v>267</v>
      </c>
    </row>
    <row r="17">
      <c r="B17" t="n">
        <v>1991</v>
      </c>
      <c r="C17" s="26">
        <f>IF(Q17*DAY(EOMONTH(DATE($B17,$C$2,1),0))*24*3600/$AE$2/10^6&gt;$AE$3,$AE$3,Q17*DAY(EOMONTH(DATE($B17,$C$2,1),0))*24*3600/$AE$2/10^6)</f>
        <v/>
      </c>
      <c r="D17" s="26">
        <f>IF(R17*DAY(EOMONTH(DATE($B17,$D$2,1),0))*24*3600/$AE$2/10^6&gt;$AE$3,$AE$3,R17*DAY(EOMONTH(DATE($B17,$D$2,1),0))*24*3600/$AE$2/10^6)</f>
        <v/>
      </c>
      <c r="E17" s="26">
        <f>IF(S17*DAY(EOMONTH(DATE($B17,$E$2,1),0))*24*3600/$AE$2/10^6&gt;$AE$3,$AE$3,S17*DAY(EOMONTH(DATE($B17,$E$2,1),0))*24*3600/$AE$2/10^6)</f>
        <v/>
      </c>
      <c r="F17" s="26">
        <f>IF(T17*DAY(EOMONTH(DATE($B17,$F$2,1),0))*24*3600/$AE$2/10^6&gt;$AE$3,$AE$3,T17*DAY(EOMONTH(DATE($B17,$F$2,1),0))*24*3600/$AE$2/10^6)</f>
        <v/>
      </c>
      <c r="G17" s="26">
        <f>IF(U17*DAY(EOMONTH(DATE($B17,$G$2,1),0))*24*3600/$AE$2/10^6&gt;$AE$3,$AE$3,U17*DAY(EOMONTH(DATE($B17,$G$2,1),0))*24*3600/$AE$2/10^6)</f>
        <v/>
      </c>
      <c r="H17" s="26">
        <f>IF(V17*DAY(EOMONTH(DATE($B17,$H$2,1),0))*24*3600/$AE$2/10^6&gt;$AE$3,$AE$3,V17*DAY(EOMONTH(DATE($B17,$H$2,1),0))*24*3600/$AE$2/10^6)</f>
        <v/>
      </c>
      <c r="I17" s="26">
        <f>IF(W17*DAY(EOMONTH(DATE($B17,$I$2,1),0))*24*3600/$AE$2/10^6&gt;$AE$3,$AE$3,W17*DAY(EOMONTH(DATE($B17,$I$2,1),0))*24*3600/$AE$2/10^6)</f>
        <v/>
      </c>
      <c r="J17" s="26">
        <f>IF(X17*DAY(EOMONTH(DATE($B17,$J$2,1),0))*24*3600/$AE$2/10^6&gt;$AE$3,$AE$3,X17*DAY(EOMONTH(DATE($B17,$J$2,1),0))*24*3600/$AE$2/10^6)</f>
        <v/>
      </c>
      <c r="K17" s="26">
        <f>IF(Y17*DAY(EOMONTH(DATE($B17,$K$2,1),0))*24*3600/$AE$2/10^6&gt;$AE$3,$AE$3,Y17*DAY(EOMONTH(DATE($B17,$K$2,1),0))*24*3600/$AE$2/10^6)</f>
        <v/>
      </c>
      <c r="L17" s="26">
        <f>IF(Z17*DAY(EOMONTH(DATE($B17,$L$2,1),0))*24*3600/$AE$2/10^6&gt;$AE$3,$AE$3,Z17*DAY(EOMONTH(DATE($B17,$L$2,1),0))*24*3600/$AE$2/10^6)</f>
        <v/>
      </c>
      <c r="M17" s="26">
        <f>IF(AA17*DAY(EOMONTH(DATE($B17,$M$2,1),0))*24*3600/$AE$2/10^6&gt;$AE$3,$AE$3,AA17*DAY(EOMONTH(DATE($B17,$M$2,1),0))*24*3600/$AE$2/10^6)</f>
        <v/>
      </c>
      <c r="N17" s="26">
        <f>IF(AB17*DAY(EOMONTH(DATE($B17,$N$2,1),0))*24*3600/$AE$2/10^6&gt;$AE$3,$AE$3,AB17*DAY(EOMONTH(DATE($B17,$N$2,1),0))*24*3600/$AE$2/10^6)</f>
        <v/>
      </c>
      <c r="O17" s="27">
        <f>SUM(C17:N17)</f>
        <v/>
      </c>
      <c r="Q17" s="28" t="n">
        <v>129</v>
      </c>
      <c r="R17" s="28" t="n">
        <v>84.7</v>
      </c>
      <c r="S17" s="28" t="n">
        <v>65.59999999999999</v>
      </c>
      <c r="T17" s="28" t="n">
        <v>57.4</v>
      </c>
      <c r="U17" s="28" t="n">
        <v>72.09999999999999</v>
      </c>
      <c r="V17" s="28" t="n">
        <v>90.40000000000001</v>
      </c>
      <c r="W17" s="28" t="n">
        <v>127.2</v>
      </c>
      <c r="X17" s="28" t="n">
        <v>189.1</v>
      </c>
      <c r="Y17" s="28" t="n">
        <v>292.9</v>
      </c>
      <c r="Z17" s="28" t="n">
        <v>341.1</v>
      </c>
      <c r="AA17" s="28" t="n">
        <v>160.9</v>
      </c>
      <c r="AB17" s="28" t="n">
        <v>96.7</v>
      </c>
    </row>
    <row r="18">
      <c r="B18" t="n">
        <v>1992</v>
      </c>
      <c r="C18" s="26">
        <f>IF(Q18*DAY(EOMONTH(DATE($B18,$C$2,1),0))*24*3600/$AE$2/10^6&gt;$AE$3,$AE$3,Q18*DAY(EOMONTH(DATE($B18,$C$2,1),0))*24*3600/$AE$2/10^6)</f>
        <v/>
      </c>
      <c r="D18" s="26">
        <f>IF(R18*DAY(EOMONTH(DATE($B18,$D$2,1),0))*24*3600/$AE$2/10^6&gt;$AE$3,$AE$3,R18*DAY(EOMONTH(DATE($B18,$D$2,1),0))*24*3600/$AE$2/10^6)</f>
        <v/>
      </c>
      <c r="E18" s="26">
        <f>IF(S18*DAY(EOMONTH(DATE($B18,$E$2,1),0))*24*3600/$AE$2/10^6&gt;$AE$3,$AE$3,S18*DAY(EOMONTH(DATE($B18,$E$2,1),0))*24*3600/$AE$2/10^6)</f>
        <v/>
      </c>
      <c r="F18" s="26">
        <f>IF(T18*DAY(EOMONTH(DATE($B18,$F$2,1),0))*24*3600/$AE$2/10^6&gt;$AE$3,$AE$3,T18*DAY(EOMONTH(DATE($B18,$F$2,1),0))*24*3600/$AE$2/10^6)</f>
        <v/>
      </c>
      <c r="G18" s="26">
        <f>IF(U18*DAY(EOMONTH(DATE($B18,$G$2,1),0))*24*3600/$AE$2/10^6&gt;$AE$3,$AE$3,U18*DAY(EOMONTH(DATE($B18,$G$2,1),0))*24*3600/$AE$2/10^6)</f>
        <v/>
      </c>
      <c r="H18" s="26">
        <f>IF(V18*DAY(EOMONTH(DATE($B18,$H$2,1),0))*24*3600/$AE$2/10^6&gt;$AE$3,$AE$3,V18*DAY(EOMONTH(DATE($B18,$H$2,1),0))*24*3600/$AE$2/10^6)</f>
        <v/>
      </c>
      <c r="I18" s="26">
        <f>IF(W18*DAY(EOMONTH(DATE($B18,$I$2,1),0))*24*3600/$AE$2/10^6&gt;$AE$3,$AE$3,W18*DAY(EOMONTH(DATE($B18,$I$2,1),0))*24*3600/$AE$2/10^6)</f>
        <v/>
      </c>
      <c r="J18" s="26">
        <f>IF(X18*DAY(EOMONTH(DATE($B18,$J$2,1),0))*24*3600/$AE$2/10^6&gt;$AE$3,$AE$3,X18*DAY(EOMONTH(DATE($B18,$J$2,1),0))*24*3600/$AE$2/10^6)</f>
        <v/>
      </c>
      <c r="K18" s="26">
        <f>IF(Y18*DAY(EOMONTH(DATE($B18,$K$2,1),0))*24*3600/$AE$2/10^6&gt;$AE$3,$AE$3,Y18*DAY(EOMONTH(DATE($B18,$K$2,1),0))*24*3600/$AE$2/10^6)</f>
        <v/>
      </c>
      <c r="L18" s="26">
        <f>IF(Z18*DAY(EOMONTH(DATE($B18,$L$2,1),0))*24*3600/$AE$2/10^6&gt;$AE$3,$AE$3,Z18*DAY(EOMONTH(DATE($B18,$L$2,1),0))*24*3600/$AE$2/10^6)</f>
        <v/>
      </c>
      <c r="M18" s="26">
        <f>IF(AA18*DAY(EOMONTH(DATE($B18,$M$2,1),0))*24*3600/$AE$2/10^6&gt;$AE$3,$AE$3,AA18*DAY(EOMONTH(DATE($B18,$M$2,1),0))*24*3600/$AE$2/10^6)</f>
        <v/>
      </c>
      <c r="N18" s="26">
        <f>IF(AB18*DAY(EOMONTH(DATE($B18,$N$2,1),0))*24*3600/$AE$2/10^6&gt;$AE$3,$AE$3,AB18*DAY(EOMONTH(DATE($B18,$N$2,1),0))*24*3600/$AE$2/10^6)</f>
        <v/>
      </c>
      <c r="O18" s="27">
        <f>SUM(C18:N18)</f>
        <v/>
      </c>
      <c r="Q18" s="28" t="n">
        <v>65.2</v>
      </c>
      <c r="R18" s="28" t="n">
        <v>45.4</v>
      </c>
      <c r="S18" s="28" t="n">
        <v>37</v>
      </c>
      <c r="T18" s="28" t="n">
        <v>47.1</v>
      </c>
      <c r="U18" s="28" t="n">
        <v>83</v>
      </c>
      <c r="V18" s="28" t="n">
        <v>208.1</v>
      </c>
      <c r="W18" s="28" t="n">
        <v>241.5</v>
      </c>
      <c r="X18" s="28" t="n">
        <v>396.5</v>
      </c>
      <c r="Y18" s="28" t="n">
        <v>408.9</v>
      </c>
      <c r="Z18" s="28" t="n">
        <v>471.9</v>
      </c>
      <c r="AA18" s="28" t="n">
        <v>474.8</v>
      </c>
      <c r="AB18" s="28" t="n">
        <v>184.6</v>
      </c>
    </row>
    <row r="19">
      <c r="B19" t="n">
        <v>1993</v>
      </c>
      <c r="C19" s="26">
        <f>IF(Q19*DAY(EOMONTH(DATE($B19,$C$2,1),0))*24*3600/$AE$2/10^6&gt;$AE$3,$AE$3,Q19*DAY(EOMONTH(DATE($B19,$C$2,1),0))*24*3600/$AE$2/10^6)</f>
        <v/>
      </c>
      <c r="D19" s="26">
        <f>IF(R19*DAY(EOMONTH(DATE($B19,$D$2,1),0))*24*3600/$AE$2/10^6&gt;$AE$3,$AE$3,R19*DAY(EOMONTH(DATE($B19,$D$2,1),0))*24*3600/$AE$2/10^6)</f>
        <v/>
      </c>
      <c r="E19" s="26">
        <f>IF(S19*DAY(EOMONTH(DATE($B19,$E$2,1),0))*24*3600/$AE$2/10^6&gt;$AE$3,$AE$3,S19*DAY(EOMONTH(DATE($B19,$E$2,1),0))*24*3600/$AE$2/10^6)</f>
        <v/>
      </c>
      <c r="F19" s="26">
        <f>IF(T19*DAY(EOMONTH(DATE($B19,$F$2,1),0))*24*3600/$AE$2/10^6&gt;$AE$3,$AE$3,T19*DAY(EOMONTH(DATE($B19,$F$2,1),0))*24*3600/$AE$2/10^6)</f>
        <v/>
      </c>
      <c r="G19" s="26">
        <f>IF(U19*DAY(EOMONTH(DATE($B19,$G$2,1),0))*24*3600/$AE$2/10^6&gt;$AE$3,$AE$3,U19*DAY(EOMONTH(DATE($B19,$G$2,1),0))*24*3600/$AE$2/10^6)</f>
        <v/>
      </c>
      <c r="H19" s="26">
        <f>IF(V19*DAY(EOMONTH(DATE($B19,$H$2,1),0))*24*3600/$AE$2/10^6&gt;$AE$3,$AE$3,V19*DAY(EOMONTH(DATE($B19,$H$2,1),0))*24*3600/$AE$2/10^6)</f>
        <v/>
      </c>
      <c r="I19" s="26">
        <f>IF(W19*DAY(EOMONTH(DATE($B19,$I$2,1),0))*24*3600/$AE$2/10^6&gt;$AE$3,$AE$3,W19*DAY(EOMONTH(DATE($B19,$I$2,1),0))*24*3600/$AE$2/10^6)</f>
        <v/>
      </c>
      <c r="J19" s="26">
        <f>IF(X19*DAY(EOMONTH(DATE($B19,$J$2,1),0))*24*3600/$AE$2/10^6&gt;$AE$3,$AE$3,X19*DAY(EOMONTH(DATE($B19,$J$2,1),0))*24*3600/$AE$2/10^6)</f>
        <v/>
      </c>
      <c r="K19" s="26">
        <f>IF(Y19*DAY(EOMONTH(DATE($B19,$K$2,1),0))*24*3600/$AE$2/10^6&gt;$AE$3,$AE$3,Y19*DAY(EOMONTH(DATE($B19,$K$2,1),0))*24*3600/$AE$2/10^6)</f>
        <v/>
      </c>
      <c r="L19" s="26">
        <f>IF(Z19*DAY(EOMONTH(DATE($B19,$L$2,1),0))*24*3600/$AE$2/10^6&gt;$AE$3,$AE$3,Z19*DAY(EOMONTH(DATE($B19,$L$2,1),0))*24*3600/$AE$2/10^6)</f>
        <v/>
      </c>
      <c r="M19" s="26">
        <f>IF(AA19*DAY(EOMONTH(DATE($B19,$M$2,1),0))*24*3600/$AE$2/10^6&gt;$AE$3,$AE$3,AA19*DAY(EOMONTH(DATE($B19,$M$2,1),0))*24*3600/$AE$2/10^6)</f>
        <v/>
      </c>
      <c r="N19" s="26">
        <f>IF(AB19*DAY(EOMONTH(DATE($B19,$N$2,1),0))*24*3600/$AE$2/10^6&gt;$AE$3,$AE$3,AB19*DAY(EOMONTH(DATE($B19,$N$2,1),0))*24*3600/$AE$2/10^6)</f>
        <v/>
      </c>
      <c r="O19" s="27">
        <f>SUM(C19:N19)</f>
        <v/>
      </c>
      <c r="Q19" s="28" t="n">
        <v>105.2</v>
      </c>
      <c r="R19" s="28" t="n">
        <v>68.5</v>
      </c>
      <c r="S19" s="28" t="n">
        <v>58.8</v>
      </c>
      <c r="T19" s="28" t="n">
        <v>51</v>
      </c>
      <c r="U19" s="28" t="n">
        <v>85.2</v>
      </c>
      <c r="V19" s="28" t="n">
        <v>120.5</v>
      </c>
      <c r="W19" s="28" t="n">
        <v>194.8</v>
      </c>
      <c r="X19" s="28" t="n">
        <v>212.8</v>
      </c>
      <c r="Y19" s="28" t="n">
        <v>262.2</v>
      </c>
      <c r="Z19" s="28" t="n">
        <v>762.3</v>
      </c>
      <c r="AA19" s="28" t="n">
        <v>263.5</v>
      </c>
      <c r="AB19" s="28" t="n">
        <v>590.4</v>
      </c>
    </row>
    <row r="20">
      <c r="B20" t="n">
        <v>1994</v>
      </c>
      <c r="C20" s="26">
        <f>IF(Q20*DAY(EOMONTH(DATE($B20,$C$2,1),0))*24*3600/$AE$2/10^6&gt;$AE$3,$AE$3,Q20*DAY(EOMONTH(DATE($B20,$C$2,1),0))*24*3600/$AE$2/10^6)</f>
        <v/>
      </c>
      <c r="D20" s="26">
        <f>IF(R20*DAY(EOMONTH(DATE($B20,$D$2,1),0))*24*3600/$AE$2/10^6&gt;$AE$3,$AE$3,R20*DAY(EOMONTH(DATE($B20,$D$2,1),0))*24*3600/$AE$2/10^6)</f>
        <v/>
      </c>
      <c r="E20" s="26">
        <f>IF(S20*DAY(EOMONTH(DATE($B20,$E$2,1),0))*24*3600/$AE$2/10^6&gt;$AE$3,$AE$3,S20*DAY(EOMONTH(DATE($B20,$E$2,1),0))*24*3600/$AE$2/10^6)</f>
        <v/>
      </c>
      <c r="F20" s="26">
        <f>IF(T20*DAY(EOMONTH(DATE($B20,$F$2,1),0))*24*3600/$AE$2/10^6&gt;$AE$3,$AE$3,T20*DAY(EOMONTH(DATE($B20,$F$2,1),0))*24*3600/$AE$2/10^6)</f>
        <v/>
      </c>
      <c r="G20" s="26">
        <f>IF(U20*DAY(EOMONTH(DATE($B20,$G$2,1),0))*24*3600/$AE$2/10^6&gt;$AE$3,$AE$3,U20*DAY(EOMONTH(DATE($B20,$G$2,1),0))*24*3600/$AE$2/10^6)</f>
        <v/>
      </c>
      <c r="H20" s="26">
        <f>IF(V20*DAY(EOMONTH(DATE($B20,$H$2,1),0))*24*3600/$AE$2/10^6&gt;$AE$3,$AE$3,V20*DAY(EOMONTH(DATE($B20,$H$2,1),0))*24*3600/$AE$2/10^6)</f>
        <v/>
      </c>
      <c r="I20" s="26">
        <f>IF(W20*DAY(EOMONTH(DATE($B20,$I$2,1),0))*24*3600/$AE$2/10^6&gt;$AE$3,$AE$3,W20*DAY(EOMONTH(DATE($B20,$I$2,1),0))*24*3600/$AE$2/10^6)</f>
        <v/>
      </c>
      <c r="J20" s="26">
        <f>IF(X20*DAY(EOMONTH(DATE($B20,$J$2,1),0))*24*3600/$AE$2/10^6&gt;$AE$3,$AE$3,X20*DAY(EOMONTH(DATE($B20,$J$2,1),0))*24*3600/$AE$2/10^6)</f>
        <v/>
      </c>
      <c r="K20" s="26">
        <f>IF(Y20*DAY(EOMONTH(DATE($B20,$K$2,1),0))*24*3600/$AE$2/10^6&gt;$AE$3,$AE$3,Y20*DAY(EOMONTH(DATE($B20,$K$2,1),0))*24*3600/$AE$2/10^6)</f>
        <v/>
      </c>
      <c r="L20" s="26">
        <f>IF(Z20*DAY(EOMONTH(DATE($B20,$L$2,1),0))*24*3600/$AE$2/10^6&gt;$AE$3,$AE$3,Z20*DAY(EOMONTH(DATE($B20,$L$2,1),0))*24*3600/$AE$2/10^6)</f>
        <v/>
      </c>
      <c r="M20" s="26">
        <f>IF(AA20*DAY(EOMONTH(DATE($B20,$M$2,1),0))*24*3600/$AE$2/10^6&gt;$AE$3,$AE$3,AA20*DAY(EOMONTH(DATE($B20,$M$2,1),0))*24*3600/$AE$2/10^6)</f>
        <v/>
      </c>
      <c r="N20" s="26">
        <f>IF(AB20*DAY(EOMONTH(DATE($B20,$N$2,1),0))*24*3600/$AE$2/10^6&gt;$AE$3,$AE$3,AB20*DAY(EOMONTH(DATE($B20,$N$2,1),0))*24*3600/$AE$2/10^6)</f>
        <v/>
      </c>
      <c r="O20" s="27">
        <f>SUM(C20:N20)</f>
        <v/>
      </c>
      <c r="Q20" s="28" t="n">
        <v>213.8</v>
      </c>
      <c r="R20" s="28" t="n">
        <v>106.9</v>
      </c>
      <c r="S20" s="28" t="n">
        <v>69.2</v>
      </c>
      <c r="T20" s="28" t="n">
        <v>73.8</v>
      </c>
      <c r="U20" s="28" t="n">
        <v>112.3</v>
      </c>
      <c r="V20" s="28" t="n">
        <v>153.3</v>
      </c>
      <c r="W20" s="28" t="n">
        <v>270.4</v>
      </c>
      <c r="X20" s="28" t="n">
        <v>242.9</v>
      </c>
      <c r="Y20" s="28" t="n">
        <v>338.4</v>
      </c>
      <c r="Z20" s="28" t="n">
        <v>325.3</v>
      </c>
      <c r="AA20" s="28" t="n">
        <v>221.9</v>
      </c>
      <c r="AB20" s="28" t="n">
        <v>145.5</v>
      </c>
    </row>
    <row r="21">
      <c r="B21" t="n">
        <v>1995</v>
      </c>
      <c r="C21" s="26">
        <f>IF(Q21*DAY(EOMONTH(DATE($B21,$C$2,1),0))*24*3600/$AE$2/10^6&gt;$AE$3,$AE$3,Q21*DAY(EOMONTH(DATE($B21,$C$2,1),0))*24*3600/$AE$2/10^6)</f>
        <v/>
      </c>
      <c r="D21" s="26">
        <f>IF(R21*DAY(EOMONTH(DATE($B21,$D$2,1),0))*24*3600/$AE$2/10^6&gt;$AE$3,$AE$3,R21*DAY(EOMONTH(DATE($B21,$D$2,1),0))*24*3600/$AE$2/10^6)</f>
        <v/>
      </c>
      <c r="E21" s="26">
        <f>IF(S21*DAY(EOMONTH(DATE($B21,$E$2,1),0))*24*3600/$AE$2/10^6&gt;$AE$3,$AE$3,S21*DAY(EOMONTH(DATE($B21,$E$2,1),0))*24*3600/$AE$2/10^6)</f>
        <v/>
      </c>
      <c r="F21" s="26">
        <f>IF(T21*DAY(EOMONTH(DATE($B21,$F$2,1),0))*24*3600/$AE$2/10^6&gt;$AE$3,$AE$3,T21*DAY(EOMONTH(DATE($B21,$F$2,1),0))*24*3600/$AE$2/10^6)</f>
        <v/>
      </c>
      <c r="G21" s="26">
        <f>IF(U21*DAY(EOMONTH(DATE($B21,$G$2,1),0))*24*3600/$AE$2/10^6&gt;$AE$3,$AE$3,U21*DAY(EOMONTH(DATE($B21,$G$2,1),0))*24*3600/$AE$2/10^6)</f>
        <v/>
      </c>
      <c r="H21" s="26">
        <f>IF(V21*DAY(EOMONTH(DATE($B21,$H$2,1),0))*24*3600/$AE$2/10^6&gt;$AE$3,$AE$3,V21*DAY(EOMONTH(DATE($B21,$H$2,1),0))*24*3600/$AE$2/10^6)</f>
        <v/>
      </c>
      <c r="I21" s="26">
        <f>IF(W21*DAY(EOMONTH(DATE($B21,$I$2,1),0))*24*3600/$AE$2/10^6&gt;$AE$3,$AE$3,W21*DAY(EOMONTH(DATE($B21,$I$2,1),0))*24*3600/$AE$2/10^6)</f>
        <v/>
      </c>
      <c r="J21" s="26">
        <f>IF(X21*DAY(EOMONTH(DATE($B21,$J$2,1),0))*24*3600/$AE$2/10^6&gt;$AE$3,$AE$3,X21*DAY(EOMONTH(DATE($B21,$J$2,1),0))*24*3600/$AE$2/10^6)</f>
        <v/>
      </c>
      <c r="K21" s="26">
        <f>IF(Y21*DAY(EOMONTH(DATE($B21,$K$2,1),0))*24*3600/$AE$2/10^6&gt;$AE$3,$AE$3,Y21*DAY(EOMONTH(DATE($B21,$K$2,1),0))*24*3600/$AE$2/10^6)</f>
        <v/>
      </c>
      <c r="L21" s="26">
        <f>IF(Z21*DAY(EOMONTH(DATE($B21,$L$2,1),0))*24*3600/$AE$2/10^6&gt;$AE$3,$AE$3,Z21*DAY(EOMONTH(DATE($B21,$L$2,1),0))*24*3600/$AE$2/10^6)</f>
        <v/>
      </c>
      <c r="M21" s="26">
        <f>IF(AA21*DAY(EOMONTH(DATE($B21,$M$2,1),0))*24*3600/$AE$2/10^6&gt;$AE$3,$AE$3,AA21*DAY(EOMONTH(DATE($B21,$M$2,1),0))*24*3600/$AE$2/10^6)</f>
        <v/>
      </c>
      <c r="N21" s="26">
        <f>IF(AB21*DAY(EOMONTH(DATE($B21,$N$2,1),0))*24*3600/$AE$2/10^6&gt;$AE$3,$AE$3,AB21*DAY(EOMONTH(DATE($B21,$N$2,1),0))*24*3600/$AE$2/10^6)</f>
        <v/>
      </c>
      <c r="O21" s="27">
        <f>SUM(C21:N21)</f>
        <v/>
      </c>
      <c r="Q21" s="28" t="n">
        <v>82.90000000000001</v>
      </c>
      <c r="R21" s="28" t="n">
        <v>56.2</v>
      </c>
      <c r="S21" s="28" t="n">
        <v>43.2</v>
      </c>
      <c r="T21" s="28" t="n">
        <v>39</v>
      </c>
      <c r="U21" s="28" t="n">
        <v>55.9</v>
      </c>
      <c r="V21" s="28" t="n">
        <v>79.5</v>
      </c>
      <c r="W21" s="28" t="n">
        <v>163.2</v>
      </c>
      <c r="X21" s="28" t="n">
        <v>170.9</v>
      </c>
      <c r="Y21" s="28" t="n">
        <v>328.8</v>
      </c>
      <c r="Z21" s="28" t="n">
        <v>446.3</v>
      </c>
      <c r="AA21" s="28" t="n">
        <v>279.5</v>
      </c>
      <c r="AB21" s="28" t="n">
        <v>222.3</v>
      </c>
    </row>
    <row r="22">
      <c r="B22" t="n">
        <v>1996</v>
      </c>
      <c r="C22" s="26">
        <f>IF(Q22*DAY(EOMONTH(DATE($B22,$C$2,1),0))*24*3600/$AE$2/10^6&gt;$AE$3,$AE$3,Q22*DAY(EOMONTH(DATE($B22,$C$2,1),0))*24*3600/$AE$2/10^6)</f>
        <v/>
      </c>
      <c r="D22" s="26">
        <f>IF(R22*DAY(EOMONTH(DATE($B22,$D$2,1),0))*24*3600/$AE$2/10^6&gt;$AE$3,$AE$3,R22*DAY(EOMONTH(DATE($B22,$D$2,1),0))*24*3600/$AE$2/10^6)</f>
        <v/>
      </c>
      <c r="E22" s="26">
        <f>IF(S22*DAY(EOMONTH(DATE($B22,$E$2,1),0))*24*3600/$AE$2/10^6&gt;$AE$3,$AE$3,S22*DAY(EOMONTH(DATE($B22,$E$2,1),0))*24*3600/$AE$2/10^6)</f>
        <v/>
      </c>
      <c r="F22" s="26">
        <f>IF(T22*DAY(EOMONTH(DATE($B22,$F$2,1),0))*24*3600/$AE$2/10^6&gt;$AE$3,$AE$3,T22*DAY(EOMONTH(DATE($B22,$F$2,1),0))*24*3600/$AE$2/10^6)</f>
        <v/>
      </c>
      <c r="G22" s="26">
        <f>IF(U22*DAY(EOMONTH(DATE($B22,$G$2,1),0))*24*3600/$AE$2/10^6&gt;$AE$3,$AE$3,U22*DAY(EOMONTH(DATE($B22,$G$2,1),0))*24*3600/$AE$2/10^6)</f>
        <v/>
      </c>
      <c r="H22" s="26">
        <f>IF(V22*DAY(EOMONTH(DATE($B22,$H$2,1),0))*24*3600/$AE$2/10^6&gt;$AE$3,$AE$3,V22*DAY(EOMONTH(DATE($B22,$H$2,1),0))*24*3600/$AE$2/10^6)</f>
        <v/>
      </c>
      <c r="I22" s="26">
        <f>IF(W22*DAY(EOMONTH(DATE($B22,$I$2,1),0))*24*3600/$AE$2/10^6&gt;$AE$3,$AE$3,W22*DAY(EOMONTH(DATE($B22,$I$2,1),0))*24*3600/$AE$2/10^6)</f>
        <v/>
      </c>
      <c r="J22" s="26">
        <f>IF(X22*DAY(EOMONTH(DATE($B22,$J$2,1),0))*24*3600/$AE$2/10^6&gt;$AE$3,$AE$3,X22*DAY(EOMONTH(DATE($B22,$J$2,1),0))*24*3600/$AE$2/10^6)</f>
        <v/>
      </c>
      <c r="K22" s="26">
        <f>IF(Y22*DAY(EOMONTH(DATE($B22,$K$2,1),0))*24*3600/$AE$2/10^6&gt;$AE$3,$AE$3,Y22*DAY(EOMONTH(DATE($B22,$K$2,1),0))*24*3600/$AE$2/10^6)</f>
        <v/>
      </c>
      <c r="L22" s="26">
        <f>IF(Z22*DAY(EOMONTH(DATE($B22,$L$2,1),0))*24*3600/$AE$2/10^6&gt;$AE$3,$AE$3,Z22*DAY(EOMONTH(DATE($B22,$L$2,1),0))*24*3600/$AE$2/10^6)</f>
        <v/>
      </c>
      <c r="M22" s="26">
        <f>IF(AA22*DAY(EOMONTH(DATE($B22,$M$2,1),0))*24*3600/$AE$2/10^6&gt;$AE$3,$AE$3,AA22*DAY(EOMONTH(DATE($B22,$M$2,1),0))*24*3600/$AE$2/10^6)</f>
        <v/>
      </c>
      <c r="N22" s="26">
        <f>IF(AB22*DAY(EOMONTH(DATE($B22,$N$2,1),0))*24*3600/$AE$2/10^6&gt;$AE$3,$AE$3,AB22*DAY(EOMONTH(DATE($B22,$N$2,1),0))*24*3600/$AE$2/10^6)</f>
        <v/>
      </c>
      <c r="O22" s="27">
        <f>SUM(C22:N22)</f>
        <v/>
      </c>
      <c r="Q22" s="28" t="n">
        <v>178.4</v>
      </c>
      <c r="R22" s="28" t="n">
        <v>78.3</v>
      </c>
      <c r="S22" s="28" t="n">
        <v>47.8</v>
      </c>
      <c r="T22" s="28" t="n">
        <v>53.9</v>
      </c>
      <c r="U22" s="28" t="n">
        <v>174.9</v>
      </c>
      <c r="V22" s="28" t="n">
        <v>250.1</v>
      </c>
      <c r="W22" s="28" t="n">
        <v>297.1</v>
      </c>
      <c r="X22" s="28" t="n">
        <v>326.9</v>
      </c>
      <c r="Y22" s="28" t="n">
        <v>468.8</v>
      </c>
      <c r="Z22" s="28" t="n">
        <v>647.6</v>
      </c>
      <c r="AA22" s="28" t="n">
        <v>767</v>
      </c>
      <c r="AB22" s="28" t="n">
        <v>646</v>
      </c>
    </row>
    <row r="23">
      <c r="B23" t="n">
        <v>1997</v>
      </c>
      <c r="C23" s="26">
        <f>IF(Q23*DAY(EOMONTH(DATE($B23,$C$2,1),0))*24*3600/$AE$2/10^6&gt;$AE$3,$AE$3,Q23*DAY(EOMONTH(DATE($B23,$C$2,1),0))*24*3600/$AE$2/10^6)</f>
        <v/>
      </c>
      <c r="D23" s="26">
        <f>IF(R23*DAY(EOMONTH(DATE($B23,$D$2,1),0))*24*3600/$AE$2/10^6&gt;$AE$3,$AE$3,R23*DAY(EOMONTH(DATE($B23,$D$2,1),0))*24*3600/$AE$2/10^6)</f>
        <v/>
      </c>
      <c r="E23" s="26">
        <f>IF(S23*DAY(EOMONTH(DATE($B23,$E$2,1),0))*24*3600/$AE$2/10^6&gt;$AE$3,$AE$3,S23*DAY(EOMONTH(DATE($B23,$E$2,1),0))*24*3600/$AE$2/10^6)</f>
        <v/>
      </c>
      <c r="F23" s="26">
        <f>IF(T23*DAY(EOMONTH(DATE($B23,$F$2,1),0))*24*3600/$AE$2/10^6&gt;$AE$3,$AE$3,T23*DAY(EOMONTH(DATE($B23,$F$2,1),0))*24*3600/$AE$2/10^6)</f>
        <v/>
      </c>
      <c r="G23" s="26">
        <f>IF(U23*DAY(EOMONTH(DATE($B23,$G$2,1),0))*24*3600/$AE$2/10^6&gt;$AE$3,$AE$3,U23*DAY(EOMONTH(DATE($B23,$G$2,1),0))*24*3600/$AE$2/10^6)</f>
        <v/>
      </c>
      <c r="H23" s="26">
        <f>IF(V23*DAY(EOMONTH(DATE($B23,$H$2,1),0))*24*3600/$AE$2/10^6&gt;$AE$3,$AE$3,V23*DAY(EOMONTH(DATE($B23,$H$2,1),0))*24*3600/$AE$2/10^6)</f>
        <v/>
      </c>
      <c r="I23" s="26">
        <f>IF(W23*DAY(EOMONTH(DATE($B23,$I$2,1),0))*24*3600/$AE$2/10^6&gt;$AE$3,$AE$3,W23*DAY(EOMONTH(DATE($B23,$I$2,1),0))*24*3600/$AE$2/10^6)</f>
        <v/>
      </c>
      <c r="J23" s="26">
        <f>IF(X23*DAY(EOMONTH(DATE($B23,$J$2,1),0))*24*3600/$AE$2/10^6&gt;$AE$3,$AE$3,X23*DAY(EOMONTH(DATE($B23,$J$2,1),0))*24*3600/$AE$2/10^6)</f>
        <v/>
      </c>
      <c r="K23" s="26">
        <f>IF(Y23*DAY(EOMONTH(DATE($B23,$K$2,1),0))*24*3600/$AE$2/10^6&gt;$AE$3,$AE$3,Y23*DAY(EOMONTH(DATE($B23,$K$2,1),0))*24*3600/$AE$2/10^6)</f>
        <v/>
      </c>
      <c r="L23" s="26">
        <f>IF(Z23*DAY(EOMONTH(DATE($B23,$L$2,1),0))*24*3600/$AE$2/10^6&gt;$AE$3,$AE$3,Z23*DAY(EOMONTH(DATE($B23,$L$2,1),0))*24*3600/$AE$2/10^6)</f>
        <v/>
      </c>
      <c r="M23" s="26">
        <f>IF(AA23*DAY(EOMONTH(DATE($B23,$M$2,1),0))*24*3600/$AE$2/10^6&gt;$AE$3,$AE$3,AA23*DAY(EOMONTH(DATE($B23,$M$2,1),0))*24*3600/$AE$2/10^6)</f>
        <v/>
      </c>
      <c r="N23" s="26">
        <f>IF(AB23*DAY(EOMONTH(DATE($B23,$N$2,1),0))*24*3600/$AE$2/10^6&gt;$AE$3,$AE$3,AB23*DAY(EOMONTH(DATE($B23,$N$2,1),0))*24*3600/$AE$2/10^6)</f>
        <v/>
      </c>
      <c r="O23" s="27">
        <f>SUM(C23:N23)</f>
        <v/>
      </c>
      <c r="Q23" s="28" t="n">
        <v>304.1</v>
      </c>
      <c r="R23" s="28" t="n">
        <v>127.7</v>
      </c>
      <c r="S23" s="28" t="n">
        <v>61.3</v>
      </c>
      <c r="T23" s="28" t="n">
        <v>101</v>
      </c>
      <c r="U23" s="28" t="n">
        <v>135.6</v>
      </c>
      <c r="V23" s="28" t="n">
        <v>131.1</v>
      </c>
      <c r="W23" s="28" t="n">
        <v>294.8</v>
      </c>
      <c r="X23" s="28" t="n">
        <v>416.1</v>
      </c>
      <c r="Y23" s="28" t="n">
        <v>434.9</v>
      </c>
      <c r="Z23" s="28" t="n">
        <v>402.6</v>
      </c>
      <c r="AA23" s="28" t="n">
        <v>286.9</v>
      </c>
      <c r="AB23" s="28" t="n">
        <v>115.5</v>
      </c>
    </row>
    <row r="24">
      <c r="B24" t="n">
        <v>1998</v>
      </c>
      <c r="C24" s="26">
        <f>IF(Q24*DAY(EOMONTH(DATE($B24,$C$2,1),0))*24*3600/$AE$2/10^6&gt;$AE$3,$AE$3,Q24*DAY(EOMONTH(DATE($B24,$C$2,1),0))*24*3600/$AE$2/10^6)</f>
        <v/>
      </c>
      <c r="D24" s="26">
        <f>IF(R24*DAY(EOMONTH(DATE($B24,$D$2,1),0))*24*3600/$AE$2/10^6&gt;$AE$3,$AE$3,R24*DAY(EOMONTH(DATE($B24,$D$2,1),0))*24*3600/$AE$2/10^6)</f>
        <v/>
      </c>
      <c r="E24" s="26">
        <f>IF(S24*DAY(EOMONTH(DATE($B24,$E$2,1),0))*24*3600/$AE$2/10^6&gt;$AE$3,$AE$3,S24*DAY(EOMONTH(DATE($B24,$E$2,1),0))*24*3600/$AE$2/10^6)</f>
        <v/>
      </c>
      <c r="F24" s="26">
        <f>IF(T24*DAY(EOMONTH(DATE($B24,$F$2,1),0))*24*3600/$AE$2/10^6&gt;$AE$3,$AE$3,T24*DAY(EOMONTH(DATE($B24,$F$2,1),0))*24*3600/$AE$2/10^6)</f>
        <v/>
      </c>
      <c r="G24" s="26">
        <f>IF(U24*DAY(EOMONTH(DATE($B24,$G$2,1),0))*24*3600/$AE$2/10^6&gt;$AE$3,$AE$3,U24*DAY(EOMONTH(DATE($B24,$G$2,1),0))*24*3600/$AE$2/10^6)</f>
        <v/>
      </c>
      <c r="H24" s="26">
        <f>IF(V24*DAY(EOMONTH(DATE($B24,$H$2,1),0))*24*3600/$AE$2/10^6&gt;$AE$3,$AE$3,V24*DAY(EOMONTH(DATE($B24,$H$2,1),0))*24*3600/$AE$2/10^6)</f>
        <v/>
      </c>
      <c r="I24" s="26">
        <f>IF(W24*DAY(EOMONTH(DATE($B24,$I$2,1),0))*24*3600/$AE$2/10^6&gt;$AE$3,$AE$3,W24*DAY(EOMONTH(DATE($B24,$I$2,1),0))*24*3600/$AE$2/10^6)</f>
        <v/>
      </c>
      <c r="J24" s="26">
        <f>IF(X24*DAY(EOMONTH(DATE($B24,$J$2,1),0))*24*3600/$AE$2/10^6&gt;$AE$3,$AE$3,X24*DAY(EOMONTH(DATE($B24,$J$2,1),0))*24*3600/$AE$2/10^6)</f>
        <v/>
      </c>
      <c r="K24" s="26">
        <f>IF(Y24*DAY(EOMONTH(DATE($B24,$K$2,1),0))*24*3600/$AE$2/10^6&gt;$AE$3,$AE$3,Y24*DAY(EOMONTH(DATE($B24,$K$2,1),0))*24*3600/$AE$2/10^6)</f>
        <v/>
      </c>
      <c r="L24" s="26">
        <f>IF(Z24*DAY(EOMONTH(DATE($B24,$L$2,1),0))*24*3600/$AE$2/10^6&gt;$AE$3,$AE$3,Z24*DAY(EOMONTH(DATE($B24,$L$2,1),0))*24*3600/$AE$2/10^6)</f>
        <v/>
      </c>
      <c r="M24" s="26">
        <f>IF(AA24*DAY(EOMONTH(DATE($B24,$M$2,1),0))*24*3600/$AE$2/10^6&gt;$AE$3,$AE$3,AA24*DAY(EOMONTH(DATE($B24,$M$2,1),0))*24*3600/$AE$2/10^6)</f>
        <v/>
      </c>
      <c r="N24" s="26">
        <f>IF(AB24*DAY(EOMONTH(DATE($B24,$N$2,1),0))*24*3600/$AE$2/10^6&gt;$AE$3,$AE$3,AB24*DAY(EOMONTH(DATE($B24,$N$2,1),0))*24*3600/$AE$2/10^6)</f>
        <v/>
      </c>
      <c r="O24" s="27">
        <f>SUM(C24:N24)</f>
        <v/>
      </c>
      <c r="Q24" s="28" t="n">
        <v>67.09999999999999</v>
      </c>
      <c r="R24" s="28" t="n">
        <v>45</v>
      </c>
      <c r="S24" s="28" t="n">
        <v>26.7</v>
      </c>
      <c r="T24" s="28" t="n">
        <v>24.6</v>
      </c>
      <c r="U24" s="28" t="n">
        <v>61.8</v>
      </c>
      <c r="V24" s="28" t="n">
        <v>68.3</v>
      </c>
      <c r="W24" s="28" t="n">
        <v>115.9</v>
      </c>
      <c r="X24" s="28" t="n">
        <v>185</v>
      </c>
      <c r="Y24" s="28" t="n">
        <v>205</v>
      </c>
      <c r="Z24" s="28" t="n">
        <v>427.7</v>
      </c>
      <c r="AA24" s="28" t="n">
        <v>957.4</v>
      </c>
      <c r="AB24" s="28" t="n">
        <v>867.5</v>
      </c>
    </row>
    <row r="25">
      <c r="B25" t="n">
        <v>1999</v>
      </c>
      <c r="C25" s="26">
        <f>IF(Q25*DAY(EOMONTH(DATE($B25,$C$2,1),0))*24*3600/$AE$2/10^6&gt;$AE$3,$AE$3,Q25*DAY(EOMONTH(DATE($B25,$C$2,1),0))*24*3600/$AE$2/10^6)</f>
        <v/>
      </c>
      <c r="D25" s="26">
        <f>IF(R25*DAY(EOMONTH(DATE($B25,$D$2,1),0))*24*3600/$AE$2/10^6&gt;$AE$3,$AE$3,R25*DAY(EOMONTH(DATE($B25,$D$2,1),0))*24*3600/$AE$2/10^6)</f>
        <v/>
      </c>
      <c r="E25" s="26">
        <f>IF(S25*DAY(EOMONTH(DATE($B25,$E$2,1),0))*24*3600/$AE$2/10^6&gt;$AE$3,$AE$3,S25*DAY(EOMONTH(DATE($B25,$E$2,1),0))*24*3600/$AE$2/10^6)</f>
        <v/>
      </c>
      <c r="F25" s="26">
        <f>IF(T25*DAY(EOMONTH(DATE($B25,$F$2,1),0))*24*3600/$AE$2/10^6&gt;$AE$3,$AE$3,T25*DAY(EOMONTH(DATE($B25,$F$2,1),0))*24*3600/$AE$2/10^6)</f>
        <v/>
      </c>
      <c r="G25" s="26">
        <f>IF(U25*DAY(EOMONTH(DATE($B25,$G$2,1),0))*24*3600/$AE$2/10^6&gt;$AE$3,$AE$3,U25*DAY(EOMONTH(DATE($B25,$G$2,1),0))*24*3600/$AE$2/10^6)</f>
        <v/>
      </c>
      <c r="H25" s="26">
        <f>IF(V25*DAY(EOMONTH(DATE($B25,$H$2,1),0))*24*3600/$AE$2/10^6&gt;$AE$3,$AE$3,V25*DAY(EOMONTH(DATE($B25,$H$2,1),0))*24*3600/$AE$2/10^6)</f>
        <v/>
      </c>
      <c r="I25" s="26">
        <f>IF(W25*DAY(EOMONTH(DATE($B25,$I$2,1),0))*24*3600/$AE$2/10^6&gt;$AE$3,$AE$3,W25*DAY(EOMONTH(DATE($B25,$I$2,1),0))*24*3600/$AE$2/10^6)</f>
        <v/>
      </c>
      <c r="J25" s="26">
        <f>IF(X25*DAY(EOMONTH(DATE($B25,$J$2,1),0))*24*3600/$AE$2/10^6&gt;$AE$3,$AE$3,X25*DAY(EOMONTH(DATE($B25,$J$2,1),0))*24*3600/$AE$2/10^6)</f>
        <v/>
      </c>
      <c r="K25" s="26">
        <f>IF(Y25*DAY(EOMONTH(DATE($B25,$K$2,1),0))*24*3600/$AE$2/10^6&gt;$AE$3,$AE$3,Y25*DAY(EOMONTH(DATE($B25,$K$2,1),0))*24*3600/$AE$2/10^6)</f>
        <v/>
      </c>
      <c r="L25" s="26">
        <f>IF(Z25*DAY(EOMONTH(DATE($B25,$L$2,1),0))*24*3600/$AE$2/10^6&gt;$AE$3,$AE$3,Z25*DAY(EOMONTH(DATE($B25,$L$2,1),0))*24*3600/$AE$2/10^6)</f>
        <v/>
      </c>
      <c r="M25" s="26">
        <f>IF(AA25*DAY(EOMONTH(DATE($B25,$M$2,1),0))*24*3600/$AE$2/10^6&gt;$AE$3,$AE$3,AA25*DAY(EOMONTH(DATE($B25,$M$2,1),0))*24*3600/$AE$2/10^6)</f>
        <v/>
      </c>
      <c r="N25" s="26">
        <f>IF(AB25*DAY(EOMONTH(DATE($B25,$N$2,1),0))*24*3600/$AE$2/10^6&gt;$AE$3,$AE$3,AB25*DAY(EOMONTH(DATE($B25,$N$2,1),0))*24*3600/$AE$2/10^6)</f>
        <v/>
      </c>
      <c r="O25" s="27">
        <f>SUM(C25:N25)</f>
        <v/>
      </c>
      <c r="Q25" s="28" t="n">
        <v>331.9</v>
      </c>
      <c r="R25" s="28" t="n">
        <v>155.4</v>
      </c>
      <c r="S25" s="28" t="n">
        <v>96.40000000000001</v>
      </c>
      <c r="T25" s="28" t="n">
        <v>122</v>
      </c>
      <c r="U25" s="28" t="n">
        <v>357.8</v>
      </c>
      <c r="V25" s="28" t="n">
        <v>451.4</v>
      </c>
      <c r="W25" s="28" t="n">
        <v>306.2</v>
      </c>
      <c r="X25" s="28" t="n">
        <v>462.1</v>
      </c>
      <c r="Y25" s="28" t="n">
        <v>389.8</v>
      </c>
      <c r="Z25" s="28" t="n">
        <v>444.8</v>
      </c>
      <c r="AA25" s="28" t="n">
        <v>634</v>
      </c>
      <c r="AB25" s="28" t="n">
        <v>662.8</v>
      </c>
    </row>
    <row r="26">
      <c r="B26" t="n">
        <v>2000</v>
      </c>
      <c r="C26" s="26">
        <f>IF(Q26*DAY(EOMONTH(DATE($B26,$C$2,1),0))*24*3600/$AE$2/10^6&gt;$AE$3,$AE$3,Q26*DAY(EOMONTH(DATE($B26,$C$2,1),0))*24*3600/$AE$2/10^6)</f>
        <v/>
      </c>
      <c r="D26" s="26">
        <f>IF(R26*DAY(EOMONTH(DATE($B26,$D$2,1),0))*24*3600/$AE$2/10^6&gt;$AE$3,$AE$3,R26*DAY(EOMONTH(DATE($B26,$D$2,1),0))*24*3600/$AE$2/10^6)</f>
        <v/>
      </c>
      <c r="E26" s="26">
        <f>IF(S26*DAY(EOMONTH(DATE($B26,$E$2,1),0))*24*3600/$AE$2/10^6&gt;$AE$3,$AE$3,S26*DAY(EOMONTH(DATE($B26,$E$2,1),0))*24*3600/$AE$2/10^6)</f>
        <v/>
      </c>
      <c r="F26" s="26">
        <f>IF(T26*DAY(EOMONTH(DATE($B26,$F$2,1),0))*24*3600/$AE$2/10^6&gt;$AE$3,$AE$3,T26*DAY(EOMONTH(DATE($B26,$F$2,1),0))*24*3600/$AE$2/10^6)</f>
        <v/>
      </c>
      <c r="G26" s="26">
        <f>IF(U26*DAY(EOMONTH(DATE($B26,$G$2,1),0))*24*3600/$AE$2/10^6&gt;$AE$3,$AE$3,U26*DAY(EOMONTH(DATE($B26,$G$2,1),0))*24*3600/$AE$2/10^6)</f>
        <v/>
      </c>
      <c r="H26" s="26">
        <f>IF(V26*DAY(EOMONTH(DATE($B26,$H$2,1),0))*24*3600/$AE$2/10^6&gt;$AE$3,$AE$3,V26*DAY(EOMONTH(DATE($B26,$H$2,1),0))*24*3600/$AE$2/10^6)</f>
        <v/>
      </c>
      <c r="I26" s="26">
        <f>IF(W26*DAY(EOMONTH(DATE($B26,$I$2,1),0))*24*3600/$AE$2/10^6&gt;$AE$3,$AE$3,W26*DAY(EOMONTH(DATE($B26,$I$2,1),0))*24*3600/$AE$2/10^6)</f>
        <v/>
      </c>
      <c r="J26" s="26">
        <f>IF(X26*DAY(EOMONTH(DATE($B26,$J$2,1),0))*24*3600/$AE$2/10^6&gt;$AE$3,$AE$3,X26*DAY(EOMONTH(DATE($B26,$J$2,1),0))*24*3600/$AE$2/10^6)</f>
        <v/>
      </c>
      <c r="K26" s="26">
        <f>IF(Y26*DAY(EOMONTH(DATE($B26,$K$2,1),0))*24*3600/$AE$2/10^6&gt;$AE$3,$AE$3,Y26*DAY(EOMONTH(DATE($B26,$K$2,1),0))*24*3600/$AE$2/10^6)</f>
        <v/>
      </c>
      <c r="L26" s="26">
        <f>IF(Z26*DAY(EOMONTH(DATE($B26,$L$2,1),0))*24*3600/$AE$2/10^6&gt;$AE$3,$AE$3,Z26*DAY(EOMONTH(DATE($B26,$L$2,1),0))*24*3600/$AE$2/10^6)</f>
        <v/>
      </c>
      <c r="M26" s="26">
        <f>IF(AA26*DAY(EOMONTH(DATE($B26,$M$2,1),0))*24*3600/$AE$2/10^6&gt;$AE$3,$AE$3,AA26*DAY(EOMONTH(DATE($B26,$M$2,1),0))*24*3600/$AE$2/10^6)</f>
        <v/>
      </c>
      <c r="N26" s="26">
        <f>IF(AB26*DAY(EOMONTH(DATE($B26,$N$2,1),0))*24*3600/$AE$2/10^6&gt;$AE$3,$AE$3,AB26*DAY(EOMONTH(DATE($B26,$N$2,1),0))*24*3600/$AE$2/10^6)</f>
        <v/>
      </c>
      <c r="O26" s="27">
        <f>SUM(C26:N26)</f>
        <v/>
      </c>
      <c r="Q26" s="28" t="n">
        <v>230</v>
      </c>
      <c r="R26" s="28" t="n">
        <v>129.5</v>
      </c>
      <c r="S26" s="28" t="n">
        <v>85.7</v>
      </c>
      <c r="T26" s="28" t="n">
        <v>113.1</v>
      </c>
      <c r="U26" s="28" t="n">
        <v>159.1</v>
      </c>
      <c r="V26" s="28" t="n">
        <v>256.6</v>
      </c>
      <c r="W26" s="28" t="n">
        <v>341.1</v>
      </c>
      <c r="X26" s="28" t="n">
        <v>339</v>
      </c>
      <c r="Y26" s="28" t="n">
        <v>542.5</v>
      </c>
      <c r="Z26" s="28" t="n">
        <v>1217.1</v>
      </c>
      <c r="AA26" s="28" t="n">
        <v>526.5</v>
      </c>
      <c r="AB26" s="28" t="n">
        <v>551.5</v>
      </c>
    </row>
    <row r="27">
      <c r="B27" t="n">
        <v>2001</v>
      </c>
      <c r="C27" s="26">
        <f>IF(Q27*DAY(EOMONTH(DATE($B27,$C$2,1),0))*24*3600/$AE$2/10^6&gt;$AE$3,$AE$3,Q27*DAY(EOMONTH(DATE($B27,$C$2,1),0))*24*3600/$AE$2/10^6)</f>
        <v/>
      </c>
      <c r="D27" s="26">
        <f>IF(R27*DAY(EOMONTH(DATE($B27,$D$2,1),0))*24*3600/$AE$2/10^6&gt;$AE$3,$AE$3,R27*DAY(EOMONTH(DATE($B27,$D$2,1),0))*24*3600/$AE$2/10^6)</f>
        <v/>
      </c>
      <c r="E27" s="26">
        <f>IF(S27*DAY(EOMONTH(DATE($B27,$E$2,1),0))*24*3600/$AE$2/10^6&gt;$AE$3,$AE$3,S27*DAY(EOMONTH(DATE($B27,$E$2,1),0))*24*3600/$AE$2/10^6)</f>
        <v/>
      </c>
      <c r="F27" s="26">
        <f>IF(T27*DAY(EOMONTH(DATE($B27,$F$2,1),0))*24*3600/$AE$2/10^6&gt;$AE$3,$AE$3,T27*DAY(EOMONTH(DATE($B27,$F$2,1),0))*24*3600/$AE$2/10^6)</f>
        <v/>
      </c>
      <c r="G27" s="26">
        <f>IF(U27*DAY(EOMONTH(DATE($B27,$G$2,1),0))*24*3600/$AE$2/10^6&gt;$AE$3,$AE$3,U27*DAY(EOMONTH(DATE($B27,$G$2,1),0))*24*3600/$AE$2/10^6)</f>
        <v/>
      </c>
      <c r="H27" s="26">
        <f>IF(V27*DAY(EOMONTH(DATE($B27,$H$2,1),0))*24*3600/$AE$2/10^6&gt;$AE$3,$AE$3,V27*DAY(EOMONTH(DATE($B27,$H$2,1),0))*24*3600/$AE$2/10^6)</f>
        <v/>
      </c>
      <c r="I27" s="26">
        <f>IF(W27*DAY(EOMONTH(DATE($B27,$I$2,1),0))*24*3600/$AE$2/10^6&gt;$AE$3,$AE$3,W27*DAY(EOMONTH(DATE($B27,$I$2,1),0))*24*3600/$AE$2/10^6)</f>
        <v/>
      </c>
      <c r="J27" s="26">
        <f>IF(X27*DAY(EOMONTH(DATE($B27,$J$2,1),0))*24*3600/$AE$2/10^6&gt;$AE$3,$AE$3,X27*DAY(EOMONTH(DATE($B27,$J$2,1),0))*24*3600/$AE$2/10^6)</f>
        <v/>
      </c>
      <c r="K27" s="26">
        <f>IF(Y27*DAY(EOMONTH(DATE($B27,$K$2,1),0))*24*3600/$AE$2/10^6&gt;$AE$3,$AE$3,Y27*DAY(EOMONTH(DATE($B27,$K$2,1),0))*24*3600/$AE$2/10^6)</f>
        <v/>
      </c>
      <c r="L27" s="26">
        <f>IF(Z27*DAY(EOMONTH(DATE($B27,$L$2,1),0))*24*3600/$AE$2/10^6&gt;$AE$3,$AE$3,Z27*DAY(EOMONTH(DATE($B27,$L$2,1),0))*24*3600/$AE$2/10^6)</f>
        <v/>
      </c>
      <c r="M27" s="26">
        <f>IF(AA27*DAY(EOMONTH(DATE($B27,$M$2,1),0))*24*3600/$AE$2/10^6&gt;$AE$3,$AE$3,AA27*DAY(EOMONTH(DATE($B27,$M$2,1),0))*24*3600/$AE$2/10^6)</f>
        <v/>
      </c>
      <c r="N27" s="26">
        <f>IF(AB27*DAY(EOMONTH(DATE($B27,$N$2,1),0))*24*3600/$AE$2/10^6&gt;$AE$3,$AE$3,AB27*DAY(EOMONTH(DATE($B27,$N$2,1),0))*24*3600/$AE$2/10^6)</f>
        <v/>
      </c>
      <c r="O27" s="27">
        <f>SUM(C27:N27)</f>
        <v/>
      </c>
      <c r="Q27" s="28" t="n">
        <v>217.7</v>
      </c>
      <c r="R27" s="28" t="n">
        <v>106.8</v>
      </c>
      <c r="S27" s="28" t="n">
        <v>92.90000000000001</v>
      </c>
      <c r="T27" s="28" t="n">
        <v>82.90000000000001</v>
      </c>
      <c r="U27" s="28" t="n">
        <v>97.09999999999999</v>
      </c>
      <c r="V27" s="28" t="n">
        <v>172.2</v>
      </c>
      <c r="W27" s="28" t="n">
        <v>193.7</v>
      </c>
      <c r="X27" s="28" t="n">
        <v>524.1</v>
      </c>
      <c r="Y27" s="28" t="n">
        <v>443.7</v>
      </c>
      <c r="Z27" s="28" t="n">
        <v>343.2</v>
      </c>
      <c r="AA27" s="28" t="n">
        <v>296</v>
      </c>
      <c r="AB27" s="28" t="n">
        <v>178</v>
      </c>
    </row>
    <row r="28">
      <c r="B28" t="n">
        <v>2002</v>
      </c>
      <c r="C28" s="26">
        <f>IF(Q28*DAY(EOMONTH(DATE($B28,$C$2,1),0))*24*3600/$AE$2/10^6&gt;$AE$3,$AE$3,Q28*DAY(EOMONTH(DATE($B28,$C$2,1),0))*24*3600/$AE$2/10^6)</f>
        <v/>
      </c>
      <c r="D28" s="26">
        <f>IF(R28*DAY(EOMONTH(DATE($B28,$D$2,1),0))*24*3600/$AE$2/10^6&gt;$AE$3,$AE$3,R28*DAY(EOMONTH(DATE($B28,$D$2,1),0))*24*3600/$AE$2/10^6)</f>
        <v/>
      </c>
      <c r="E28" s="26">
        <f>IF(S28*DAY(EOMONTH(DATE($B28,$E$2,1),0))*24*3600/$AE$2/10^6&gt;$AE$3,$AE$3,S28*DAY(EOMONTH(DATE($B28,$E$2,1),0))*24*3600/$AE$2/10^6)</f>
        <v/>
      </c>
      <c r="F28" s="26">
        <f>IF(T28*DAY(EOMONTH(DATE($B28,$F$2,1),0))*24*3600/$AE$2/10^6&gt;$AE$3,$AE$3,T28*DAY(EOMONTH(DATE($B28,$F$2,1),0))*24*3600/$AE$2/10^6)</f>
        <v/>
      </c>
      <c r="G28" s="26">
        <f>IF(U28*DAY(EOMONTH(DATE($B28,$G$2,1),0))*24*3600/$AE$2/10^6&gt;$AE$3,$AE$3,U28*DAY(EOMONTH(DATE($B28,$G$2,1),0))*24*3600/$AE$2/10^6)</f>
        <v/>
      </c>
      <c r="H28" s="26">
        <f>IF(V28*DAY(EOMONTH(DATE($B28,$H$2,1),0))*24*3600/$AE$2/10^6&gt;$AE$3,$AE$3,V28*DAY(EOMONTH(DATE($B28,$H$2,1),0))*24*3600/$AE$2/10^6)</f>
        <v/>
      </c>
      <c r="I28" s="26">
        <f>IF(W28*DAY(EOMONTH(DATE($B28,$I$2,1),0))*24*3600/$AE$2/10^6&gt;$AE$3,$AE$3,W28*DAY(EOMONTH(DATE($B28,$I$2,1),0))*24*3600/$AE$2/10^6)</f>
        <v/>
      </c>
      <c r="J28" s="26">
        <f>IF(X28*DAY(EOMONTH(DATE($B28,$J$2,1),0))*24*3600/$AE$2/10^6&gt;$AE$3,$AE$3,X28*DAY(EOMONTH(DATE($B28,$J$2,1),0))*24*3600/$AE$2/10^6)</f>
        <v/>
      </c>
      <c r="K28" s="26">
        <f>IF(Y28*DAY(EOMONTH(DATE($B28,$K$2,1),0))*24*3600/$AE$2/10^6&gt;$AE$3,$AE$3,Y28*DAY(EOMONTH(DATE($B28,$K$2,1),0))*24*3600/$AE$2/10^6)</f>
        <v/>
      </c>
      <c r="L28" s="26">
        <f>IF(Z28*DAY(EOMONTH(DATE($B28,$L$2,1),0))*24*3600/$AE$2/10^6&gt;$AE$3,$AE$3,Z28*DAY(EOMONTH(DATE($B28,$L$2,1),0))*24*3600/$AE$2/10^6)</f>
        <v/>
      </c>
      <c r="M28" s="26">
        <f>IF(AA28*DAY(EOMONTH(DATE($B28,$M$2,1),0))*24*3600/$AE$2/10^6&gt;$AE$3,$AE$3,AA28*DAY(EOMONTH(DATE($B28,$M$2,1),0))*24*3600/$AE$2/10^6)</f>
        <v/>
      </c>
      <c r="N28" s="26">
        <f>IF(AB28*DAY(EOMONTH(DATE($B28,$N$2,1),0))*24*3600/$AE$2/10^6&gt;$AE$3,$AE$3,AB28*DAY(EOMONTH(DATE($B28,$N$2,1),0))*24*3600/$AE$2/10^6)</f>
        <v/>
      </c>
      <c r="O28" s="27">
        <f>SUM(C28:N28)</f>
        <v/>
      </c>
      <c r="Q28" s="28" t="n">
        <v>99.7</v>
      </c>
      <c r="R28" s="28" t="n">
        <v>60.5</v>
      </c>
      <c r="S28" s="28" t="n">
        <v>39.3</v>
      </c>
      <c r="T28" s="28" t="n">
        <v>39.2</v>
      </c>
      <c r="U28" s="28" t="n">
        <v>42.6</v>
      </c>
      <c r="V28" s="28" t="n">
        <v>122.8</v>
      </c>
      <c r="W28" s="28" t="n">
        <v>113.1</v>
      </c>
      <c r="X28" s="28" t="n">
        <v>459.6</v>
      </c>
      <c r="Y28" s="28" t="n">
        <v>471.5</v>
      </c>
      <c r="Z28" s="28" t="n">
        <v>302.3</v>
      </c>
      <c r="AA28" s="28" t="n">
        <v>344.5</v>
      </c>
      <c r="AB28" s="28" t="n">
        <v>180.5</v>
      </c>
    </row>
    <row r="29">
      <c r="B29" t="n">
        <v>2003</v>
      </c>
      <c r="C29" s="26">
        <f>IF(Q29*DAY(EOMONTH(DATE($B29,$C$2,1),0))*24*3600/$AE$2/10^6&gt;$AE$3,$AE$3,Q29*DAY(EOMONTH(DATE($B29,$C$2,1),0))*24*3600/$AE$2/10^6)</f>
        <v/>
      </c>
      <c r="D29" s="26">
        <f>IF(R29*DAY(EOMONTH(DATE($B29,$D$2,1),0))*24*3600/$AE$2/10^6&gt;$AE$3,$AE$3,R29*DAY(EOMONTH(DATE($B29,$D$2,1),0))*24*3600/$AE$2/10^6)</f>
        <v/>
      </c>
      <c r="E29" s="26">
        <f>IF(S29*DAY(EOMONTH(DATE($B29,$E$2,1),0))*24*3600/$AE$2/10^6&gt;$AE$3,$AE$3,S29*DAY(EOMONTH(DATE($B29,$E$2,1),0))*24*3600/$AE$2/10^6)</f>
        <v/>
      </c>
      <c r="F29" s="26">
        <f>IF(T29*DAY(EOMONTH(DATE($B29,$F$2,1),0))*24*3600/$AE$2/10^6&gt;$AE$3,$AE$3,T29*DAY(EOMONTH(DATE($B29,$F$2,1),0))*24*3600/$AE$2/10^6)</f>
        <v/>
      </c>
      <c r="G29" s="26">
        <f>IF(U29*DAY(EOMONTH(DATE($B29,$G$2,1),0))*24*3600/$AE$2/10^6&gt;$AE$3,$AE$3,U29*DAY(EOMONTH(DATE($B29,$G$2,1),0))*24*3600/$AE$2/10^6)</f>
        <v/>
      </c>
      <c r="H29" s="26">
        <f>IF(V29*DAY(EOMONTH(DATE($B29,$H$2,1),0))*24*3600/$AE$2/10^6&gt;$AE$3,$AE$3,V29*DAY(EOMONTH(DATE($B29,$H$2,1),0))*24*3600/$AE$2/10^6)</f>
        <v/>
      </c>
      <c r="I29" s="26">
        <f>IF(W29*DAY(EOMONTH(DATE($B29,$I$2,1),0))*24*3600/$AE$2/10^6&gt;$AE$3,$AE$3,W29*DAY(EOMONTH(DATE($B29,$I$2,1),0))*24*3600/$AE$2/10^6)</f>
        <v/>
      </c>
      <c r="J29" s="26">
        <f>IF(X29*DAY(EOMONTH(DATE($B29,$J$2,1),0))*24*3600/$AE$2/10^6&gt;$AE$3,$AE$3,X29*DAY(EOMONTH(DATE($B29,$J$2,1),0))*24*3600/$AE$2/10^6)</f>
        <v/>
      </c>
      <c r="K29" s="26">
        <f>IF(Y29*DAY(EOMONTH(DATE($B29,$K$2,1),0))*24*3600/$AE$2/10^6&gt;$AE$3,$AE$3,Y29*DAY(EOMONTH(DATE($B29,$K$2,1),0))*24*3600/$AE$2/10^6)</f>
        <v/>
      </c>
      <c r="L29" s="26">
        <f>IF(Z29*DAY(EOMONTH(DATE($B29,$L$2,1),0))*24*3600/$AE$2/10^6&gt;$AE$3,$AE$3,Z29*DAY(EOMONTH(DATE($B29,$L$2,1),0))*24*3600/$AE$2/10^6)</f>
        <v/>
      </c>
      <c r="M29" s="26">
        <f>IF(AA29*DAY(EOMONTH(DATE($B29,$M$2,1),0))*24*3600/$AE$2/10^6&gt;$AE$3,$AE$3,AA29*DAY(EOMONTH(DATE($B29,$M$2,1),0))*24*3600/$AE$2/10^6)</f>
        <v/>
      </c>
      <c r="N29" s="26">
        <f>IF(AB29*DAY(EOMONTH(DATE($B29,$N$2,1),0))*24*3600/$AE$2/10^6&gt;$AE$3,$AE$3,AB29*DAY(EOMONTH(DATE($B29,$N$2,1),0))*24*3600/$AE$2/10^6)</f>
        <v/>
      </c>
      <c r="O29" s="27">
        <f>SUM(C29:N29)</f>
        <v/>
      </c>
      <c r="Q29" s="28" t="n">
        <v>93.96633650113773</v>
      </c>
      <c r="R29" s="28" t="n">
        <v>58.20864107883818</v>
      </c>
      <c r="S29" s="28" t="n">
        <v>40.8113599250435</v>
      </c>
      <c r="T29" s="28" t="n">
        <v>38.95955325034579</v>
      </c>
      <c r="U29" s="28" t="n">
        <v>85.31518002944719</v>
      </c>
      <c r="V29" s="28" t="n">
        <v>126.1744232365145</v>
      </c>
      <c r="W29" s="28" t="n">
        <v>148.4611966269576</v>
      </c>
      <c r="X29" s="28" t="n">
        <v>230.6885959041628</v>
      </c>
      <c r="Y29" s="28" t="n">
        <v>287.3056708160443</v>
      </c>
      <c r="Z29" s="28" t="n">
        <v>343.4864944451881</v>
      </c>
      <c r="AA29" s="28" t="n">
        <v>313.3707035755479</v>
      </c>
      <c r="AB29" s="28" t="n">
        <v>161.7137732565922</v>
      </c>
    </row>
    <row r="30">
      <c r="B30" t="n">
        <v>2004</v>
      </c>
      <c r="C30" s="26">
        <f>IF(Q30*DAY(EOMONTH(DATE($B30,$C$2,1),0))*24*3600/$AE$2/10^6&gt;$AE$3,$AE$3,Q30*DAY(EOMONTH(DATE($B30,$C$2,1),0))*24*3600/$AE$2/10^6)</f>
        <v/>
      </c>
      <c r="D30" s="26">
        <f>IF(R30*DAY(EOMONTH(DATE($B30,$D$2,1),0))*24*3600/$AE$2/10^6&gt;$AE$3,$AE$3,R30*DAY(EOMONTH(DATE($B30,$D$2,1),0))*24*3600/$AE$2/10^6)</f>
        <v/>
      </c>
      <c r="E30" s="26">
        <f>IF(S30*DAY(EOMONTH(DATE($B30,$E$2,1),0))*24*3600/$AE$2/10^6&gt;$AE$3,$AE$3,S30*DAY(EOMONTH(DATE($B30,$E$2,1),0))*24*3600/$AE$2/10^6)</f>
        <v/>
      </c>
      <c r="F30" s="26">
        <f>IF(T30*DAY(EOMONTH(DATE($B30,$F$2,1),0))*24*3600/$AE$2/10^6&gt;$AE$3,$AE$3,T30*DAY(EOMONTH(DATE($B30,$F$2,1),0))*24*3600/$AE$2/10^6)</f>
        <v/>
      </c>
      <c r="G30" s="26">
        <f>IF(U30*DAY(EOMONTH(DATE($B30,$G$2,1),0))*24*3600/$AE$2/10^6&gt;$AE$3,$AE$3,U30*DAY(EOMONTH(DATE($B30,$G$2,1),0))*24*3600/$AE$2/10^6)</f>
        <v/>
      </c>
      <c r="H30" s="26">
        <f>IF(V30*DAY(EOMONTH(DATE($B30,$H$2,1),0))*24*3600/$AE$2/10^6&gt;$AE$3,$AE$3,V30*DAY(EOMONTH(DATE($B30,$H$2,1),0))*24*3600/$AE$2/10^6)</f>
        <v/>
      </c>
      <c r="I30" s="26">
        <f>IF(W30*DAY(EOMONTH(DATE($B30,$I$2,1),0))*24*3600/$AE$2/10^6&gt;$AE$3,$AE$3,W30*DAY(EOMONTH(DATE($B30,$I$2,1),0))*24*3600/$AE$2/10^6)</f>
        <v/>
      </c>
      <c r="J30" s="26">
        <f>IF(X30*DAY(EOMONTH(DATE($B30,$J$2,1),0))*24*3600/$AE$2/10^6&gt;$AE$3,$AE$3,X30*DAY(EOMONTH(DATE($B30,$J$2,1),0))*24*3600/$AE$2/10^6)</f>
        <v/>
      </c>
      <c r="K30" s="26">
        <f>IF(Y30*DAY(EOMONTH(DATE($B30,$K$2,1),0))*24*3600/$AE$2/10^6&gt;$AE$3,$AE$3,Y30*DAY(EOMONTH(DATE($B30,$K$2,1),0))*24*3600/$AE$2/10^6)</f>
        <v/>
      </c>
      <c r="L30" s="26">
        <f>IF(Z30*DAY(EOMONTH(DATE($B30,$L$2,1),0))*24*3600/$AE$2/10^6&gt;$AE$3,$AE$3,Z30*DAY(EOMONTH(DATE($B30,$L$2,1),0))*24*3600/$AE$2/10^6)</f>
        <v/>
      </c>
      <c r="M30" s="26">
        <f>IF(AA30*DAY(EOMONTH(DATE($B30,$M$2,1),0))*24*3600/$AE$2/10^6&gt;$AE$3,$AE$3,AA30*DAY(EOMONTH(DATE($B30,$M$2,1),0))*24*3600/$AE$2/10^6)</f>
        <v/>
      </c>
      <c r="N30" s="26">
        <f>IF(AB30*DAY(EOMONTH(DATE($B30,$N$2,1),0))*24*3600/$AE$2/10^6&gt;$AE$3,$AE$3,AB30*DAY(EOMONTH(DATE($B30,$N$2,1),0))*24*3600/$AE$2/10^6)</f>
        <v/>
      </c>
      <c r="O30" s="27">
        <f>SUM(C30:N30)</f>
        <v/>
      </c>
      <c r="Q30" s="28" t="n">
        <v>95.67460848614643</v>
      </c>
      <c r="R30" s="28" t="n">
        <v>55.66955215338388</v>
      </c>
      <c r="S30" s="28" t="n">
        <v>38.34319368223799</v>
      </c>
      <c r="T30" s="28" t="n">
        <v>47.86414937759336</v>
      </c>
      <c r="U30" s="28" t="n">
        <v>61.68159550261009</v>
      </c>
      <c r="V30" s="28" t="n">
        <v>127.6117012448133</v>
      </c>
      <c r="W30" s="28" t="n">
        <v>134.8484406371302</v>
      </c>
      <c r="X30" s="28" t="n">
        <v>310.8223397135591</v>
      </c>
      <c r="Y30" s="28" t="n">
        <v>195.7390041493776</v>
      </c>
      <c r="Z30" s="28" t="n">
        <v>128.4833355641815</v>
      </c>
      <c r="AA30" s="28" t="n">
        <v>84.08019363762102</v>
      </c>
      <c r="AB30" s="28" t="n">
        <v>78.9435818498193</v>
      </c>
    </row>
    <row r="31">
      <c r="B31" t="n">
        <v>2005</v>
      </c>
      <c r="C31" s="26">
        <f>IF(Q31*DAY(EOMONTH(DATE($B31,$C$2,1),0))*24*3600/$AE$2/10^6&gt;$AE$3,$AE$3,Q31*DAY(EOMONTH(DATE($B31,$C$2,1),0))*24*3600/$AE$2/10^6)</f>
        <v/>
      </c>
      <c r="D31" s="26">
        <f>IF(R31*DAY(EOMONTH(DATE($B31,$D$2,1),0))*24*3600/$AE$2/10^6&gt;$AE$3,$AE$3,R31*DAY(EOMONTH(DATE($B31,$D$2,1),0))*24*3600/$AE$2/10^6)</f>
        <v/>
      </c>
      <c r="E31" s="26">
        <f>IF(S31*DAY(EOMONTH(DATE($B31,$E$2,1),0))*24*3600/$AE$2/10^6&gt;$AE$3,$AE$3,S31*DAY(EOMONTH(DATE($B31,$E$2,1),0))*24*3600/$AE$2/10^6)</f>
        <v/>
      </c>
      <c r="F31" s="26">
        <f>IF(T31*DAY(EOMONTH(DATE($B31,$F$2,1),0))*24*3600/$AE$2/10^6&gt;$AE$3,$AE$3,T31*DAY(EOMONTH(DATE($B31,$F$2,1),0))*24*3600/$AE$2/10^6)</f>
        <v/>
      </c>
      <c r="G31" s="26">
        <f>IF(U31*DAY(EOMONTH(DATE($B31,$G$2,1),0))*24*3600/$AE$2/10^6&gt;$AE$3,$AE$3,U31*DAY(EOMONTH(DATE($B31,$G$2,1),0))*24*3600/$AE$2/10^6)</f>
        <v/>
      </c>
      <c r="H31" s="26">
        <f>IF(V31*DAY(EOMONTH(DATE($B31,$H$2,1),0))*24*3600/$AE$2/10^6&gt;$AE$3,$AE$3,V31*DAY(EOMONTH(DATE($B31,$H$2,1),0))*24*3600/$AE$2/10^6)</f>
        <v/>
      </c>
      <c r="I31" s="26">
        <f>IF(W31*DAY(EOMONTH(DATE($B31,$I$2,1),0))*24*3600/$AE$2/10^6&gt;$AE$3,$AE$3,W31*DAY(EOMONTH(DATE($B31,$I$2,1),0))*24*3600/$AE$2/10^6)</f>
        <v/>
      </c>
      <c r="J31" s="26">
        <f>IF(X31*DAY(EOMONTH(DATE($B31,$J$2,1),0))*24*3600/$AE$2/10^6&gt;$AE$3,$AE$3,X31*DAY(EOMONTH(DATE($B31,$J$2,1),0))*24*3600/$AE$2/10^6)</f>
        <v/>
      </c>
      <c r="K31" s="26">
        <f>IF(Y31*DAY(EOMONTH(DATE($B31,$K$2,1),0))*24*3600/$AE$2/10^6&gt;$AE$3,$AE$3,Y31*DAY(EOMONTH(DATE($B31,$K$2,1),0))*24*3600/$AE$2/10^6)</f>
        <v/>
      </c>
      <c r="L31" s="26">
        <f>IF(Z31*DAY(EOMONTH(DATE($B31,$L$2,1),0))*24*3600/$AE$2/10^6&gt;$AE$3,$AE$3,Z31*DAY(EOMONTH(DATE($B31,$L$2,1),0))*24*3600/$AE$2/10^6)</f>
        <v/>
      </c>
      <c r="M31" s="26">
        <f>IF(AA31*DAY(EOMONTH(DATE($B31,$M$2,1),0))*24*3600/$AE$2/10^6&gt;$AE$3,$AE$3,AA31*DAY(EOMONTH(DATE($B31,$M$2,1),0))*24*3600/$AE$2/10^6)</f>
        <v/>
      </c>
      <c r="N31" s="26">
        <f>IF(AB31*DAY(EOMONTH(DATE($B31,$N$2,1),0))*24*3600/$AE$2/10^6&gt;$AE$3,$AE$3,AB31*DAY(EOMONTH(DATE($B31,$N$2,1),0))*24*3600/$AE$2/10^6)</f>
        <v/>
      </c>
      <c r="O31" s="27">
        <f>SUM(C31:N31)</f>
        <v/>
      </c>
      <c r="Q31" s="28" t="n">
        <v>34.33282960781689</v>
      </c>
      <c r="R31" s="28" t="n">
        <v>23.39160640189685</v>
      </c>
      <c r="S31" s="28" t="n">
        <v>18.26129032258063</v>
      </c>
      <c r="T31" s="28" t="n">
        <v>21.10204702627939</v>
      </c>
      <c r="U31" s="28" t="n">
        <v>47.06672466871905</v>
      </c>
      <c r="V31" s="28" t="n">
        <v>58.53319502074689</v>
      </c>
      <c r="W31" s="28" t="n">
        <v>99.43972694418419</v>
      </c>
      <c r="X31" s="28" t="n">
        <v>218.5015392852363</v>
      </c>
      <c r="Y31" s="28" t="n">
        <v>521.1430152143846</v>
      </c>
      <c r="Z31" s="28" t="n">
        <v>323.9737652255387</v>
      </c>
      <c r="AA31" s="28" t="n">
        <v>261.2827109266943</v>
      </c>
      <c r="AB31" s="28" t="n">
        <v>661.0659671838375</v>
      </c>
    </row>
    <row r="32">
      <c r="B32" t="n">
        <v>2006</v>
      </c>
      <c r="C32" s="26">
        <f>IF(Q32*DAY(EOMONTH(DATE($B32,$C$2,1),0))*24*3600/$AE$2/10^6&gt;$AE$3,$AE$3,Q32*DAY(EOMONTH(DATE($B32,$C$2,1),0))*24*3600/$AE$2/10^6)</f>
        <v/>
      </c>
      <c r="D32" s="26">
        <f>IF(R32*DAY(EOMONTH(DATE($B32,$D$2,1),0))*24*3600/$AE$2/10^6&gt;$AE$3,$AE$3,R32*DAY(EOMONTH(DATE($B32,$D$2,1),0))*24*3600/$AE$2/10^6)</f>
        <v/>
      </c>
      <c r="E32" s="26">
        <f>IF(S32*DAY(EOMONTH(DATE($B32,$E$2,1),0))*24*3600/$AE$2/10^6&gt;$AE$3,$AE$3,S32*DAY(EOMONTH(DATE($B32,$E$2,1),0))*24*3600/$AE$2/10^6)</f>
        <v/>
      </c>
      <c r="F32" s="26">
        <f>IF(T32*DAY(EOMONTH(DATE($B32,$F$2,1),0))*24*3600/$AE$2/10^6&gt;$AE$3,$AE$3,T32*DAY(EOMONTH(DATE($B32,$F$2,1),0))*24*3600/$AE$2/10^6)</f>
        <v/>
      </c>
      <c r="G32" s="26">
        <f>IF(U32*DAY(EOMONTH(DATE($B32,$G$2,1),0))*24*3600/$AE$2/10^6&gt;$AE$3,$AE$3,U32*DAY(EOMONTH(DATE($B32,$G$2,1),0))*24*3600/$AE$2/10^6)</f>
        <v/>
      </c>
      <c r="H32" s="26">
        <f>IF(V32*DAY(EOMONTH(DATE($B32,$H$2,1),0))*24*3600/$AE$2/10^6&gt;$AE$3,$AE$3,V32*DAY(EOMONTH(DATE($B32,$H$2,1),0))*24*3600/$AE$2/10^6)</f>
        <v/>
      </c>
      <c r="I32" s="26">
        <f>IF(W32*DAY(EOMONTH(DATE($B32,$I$2,1),0))*24*3600/$AE$2/10^6&gt;$AE$3,$AE$3,W32*DAY(EOMONTH(DATE($B32,$I$2,1),0))*24*3600/$AE$2/10^6)</f>
        <v/>
      </c>
      <c r="J32" s="26">
        <f>IF(X32*DAY(EOMONTH(DATE($B32,$J$2,1),0))*24*3600/$AE$2/10^6&gt;$AE$3,$AE$3,X32*DAY(EOMONTH(DATE($B32,$J$2,1),0))*24*3600/$AE$2/10^6)</f>
        <v/>
      </c>
      <c r="K32" s="26">
        <f>IF(Y32*DAY(EOMONTH(DATE($B32,$K$2,1),0))*24*3600/$AE$2/10^6&gt;$AE$3,$AE$3,Y32*DAY(EOMONTH(DATE($B32,$K$2,1),0))*24*3600/$AE$2/10^6)</f>
        <v/>
      </c>
      <c r="L32" s="26">
        <f>IF(Z32*DAY(EOMONTH(DATE($B32,$L$2,1),0))*24*3600/$AE$2/10^6&gt;$AE$3,$AE$3,Z32*DAY(EOMONTH(DATE($B32,$L$2,1),0))*24*3600/$AE$2/10^6)</f>
        <v/>
      </c>
      <c r="M32" s="26">
        <f>IF(AA32*DAY(EOMONTH(DATE($B32,$M$2,1),0))*24*3600/$AE$2/10^6&gt;$AE$3,$AE$3,AA32*DAY(EOMONTH(DATE($B32,$M$2,1),0))*24*3600/$AE$2/10^6)</f>
        <v/>
      </c>
      <c r="N32" s="26">
        <f>IF(AB32*DAY(EOMONTH(DATE($B32,$N$2,1),0))*24*3600/$AE$2/10^6&gt;$AE$3,$AE$3,AB32*DAY(EOMONTH(DATE($B32,$N$2,1),0))*24*3600/$AE$2/10^6)</f>
        <v/>
      </c>
      <c r="O32" s="27">
        <f>SUM(C32:N32)</f>
        <v/>
      </c>
      <c r="Q32" s="28" t="n">
        <v>223.7994913666176</v>
      </c>
      <c r="R32" s="28" t="n">
        <v>95.4296976882039</v>
      </c>
      <c r="S32" s="28" t="n">
        <v>67.87096774193549</v>
      </c>
      <c r="T32" s="28" t="n">
        <v>66.49199170124481</v>
      </c>
      <c r="U32" s="28" t="n">
        <v>94.68719046981663</v>
      </c>
      <c r="V32" s="28" t="n">
        <v>117.6500138312587</v>
      </c>
      <c r="W32" s="28" t="n">
        <v>249.9043903091955</v>
      </c>
      <c r="X32" s="28" t="n">
        <v>400.7776067460849</v>
      </c>
      <c r="Y32" s="28" t="n">
        <v>412.9269709543569</v>
      </c>
      <c r="Z32" s="28" t="n">
        <v>513.6438227814215</v>
      </c>
      <c r="AA32" s="28" t="n">
        <v>188.2118118948824</v>
      </c>
      <c r="AB32" s="28" t="n">
        <v>141.3326328470084</v>
      </c>
    </row>
    <row r="33">
      <c r="B33" t="n">
        <v>2007</v>
      </c>
      <c r="C33" s="26">
        <f>IF(Q33*DAY(EOMONTH(DATE($B33,$C$2,1),0))*24*3600/$AE$2/10^6&gt;$AE$3,$AE$3,Q33*DAY(EOMONTH(DATE($B33,$C$2,1),0))*24*3600/$AE$2/10^6)</f>
        <v/>
      </c>
      <c r="D33" s="26">
        <f>IF(R33*DAY(EOMONTH(DATE($B33,$D$2,1),0))*24*3600/$AE$2/10^6&gt;$AE$3,$AE$3,R33*DAY(EOMONTH(DATE($B33,$D$2,1),0))*24*3600/$AE$2/10^6)</f>
        <v/>
      </c>
      <c r="E33" s="26">
        <f>IF(S33*DAY(EOMONTH(DATE($B33,$E$2,1),0))*24*3600/$AE$2/10^6&gt;$AE$3,$AE$3,S33*DAY(EOMONTH(DATE($B33,$E$2,1),0))*24*3600/$AE$2/10^6)</f>
        <v/>
      </c>
      <c r="F33" s="26">
        <f>IF(T33*DAY(EOMONTH(DATE($B33,$F$2,1),0))*24*3600/$AE$2/10^6&gt;$AE$3,$AE$3,T33*DAY(EOMONTH(DATE($B33,$F$2,1),0))*24*3600/$AE$2/10^6)</f>
        <v/>
      </c>
      <c r="G33" s="26">
        <f>IF(U33*DAY(EOMONTH(DATE($B33,$G$2,1),0))*24*3600/$AE$2/10^6&gt;$AE$3,$AE$3,U33*DAY(EOMONTH(DATE($B33,$G$2,1),0))*24*3600/$AE$2/10^6)</f>
        <v/>
      </c>
      <c r="H33" s="26">
        <f>IF(V33*DAY(EOMONTH(DATE($B33,$H$2,1),0))*24*3600/$AE$2/10^6&gt;$AE$3,$AE$3,V33*DAY(EOMONTH(DATE($B33,$H$2,1),0))*24*3600/$AE$2/10^6)</f>
        <v/>
      </c>
      <c r="I33" s="26">
        <f>IF(W33*DAY(EOMONTH(DATE($B33,$I$2,1),0))*24*3600/$AE$2/10^6&gt;$AE$3,$AE$3,W33*DAY(EOMONTH(DATE($B33,$I$2,1),0))*24*3600/$AE$2/10^6)</f>
        <v/>
      </c>
      <c r="J33" s="26">
        <f>IF(X33*DAY(EOMONTH(DATE($B33,$J$2,1),0))*24*3600/$AE$2/10^6&gt;$AE$3,$AE$3,X33*DAY(EOMONTH(DATE($B33,$J$2,1),0))*24*3600/$AE$2/10^6)</f>
        <v/>
      </c>
      <c r="K33" s="26">
        <f>IF(Y33*DAY(EOMONTH(DATE($B33,$K$2,1),0))*24*3600/$AE$2/10^6&gt;$AE$3,$AE$3,Y33*DAY(EOMONTH(DATE($B33,$K$2,1),0))*24*3600/$AE$2/10^6)</f>
        <v/>
      </c>
      <c r="L33" s="26">
        <f>IF(Z33*DAY(EOMONTH(DATE($B33,$L$2,1),0))*24*3600/$AE$2/10^6&gt;$AE$3,$AE$3,Z33*DAY(EOMONTH(DATE($B33,$L$2,1),0))*24*3600/$AE$2/10^6)</f>
        <v/>
      </c>
      <c r="M33" s="26">
        <f>IF(AA33*DAY(EOMONTH(DATE($B33,$M$2,1),0))*24*3600/$AE$2/10^6&gt;$AE$3,$AE$3,AA33*DAY(EOMONTH(DATE($B33,$M$2,1),0))*24*3600/$AE$2/10^6)</f>
        <v/>
      </c>
      <c r="N33" s="26">
        <f>IF(AB33*DAY(EOMONTH(DATE($B33,$N$2,1),0))*24*3600/$AE$2/10^6&gt;$AE$3,$AE$3,AB33*DAY(EOMONTH(DATE($B33,$N$2,1),0))*24*3600/$AE$2/10^6)</f>
        <v/>
      </c>
      <c r="O33" s="27">
        <f>SUM(C33:N33)</f>
        <v/>
      </c>
      <c r="Q33" s="28" t="n">
        <v>104.0016062106813</v>
      </c>
      <c r="R33" s="28" t="n">
        <v>49.53592175459395</v>
      </c>
      <c r="S33" s="28" t="n">
        <v>40.468281354571</v>
      </c>
      <c r="T33" s="28" t="n">
        <v>39.90186721991702</v>
      </c>
      <c r="U33" s="28" t="n">
        <v>115.8585731495114</v>
      </c>
      <c r="V33" s="28" t="n">
        <v>166.4487275242047</v>
      </c>
      <c r="W33" s="28" t="n">
        <v>248.4068263953955</v>
      </c>
      <c r="X33" s="28" t="n">
        <v>876.2887163699638</v>
      </c>
      <c r="Y33" s="28" t="n">
        <v>617.2141078838174</v>
      </c>
      <c r="Z33" s="28" t="n">
        <v>697.2686387364475</v>
      </c>
      <c r="AA33" s="28" t="n">
        <v>735.2991701244813</v>
      </c>
      <c r="AB33" s="28" t="n">
        <v>322.4689064382278</v>
      </c>
    </row>
    <row r="34">
      <c r="B34" t="n">
        <v>2008</v>
      </c>
      <c r="C34" s="26">
        <f>IF(Q34*DAY(EOMONTH(DATE($B34,$C$2,1),0))*24*3600/$AE$2/10^6&gt;$AE$3,$AE$3,Q34*DAY(EOMONTH(DATE($B34,$C$2,1),0))*24*3600/$AE$2/10^6)</f>
        <v/>
      </c>
      <c r="D34" s="26">
        <f>IF(R34*DAY(EOMONTH(DATE($B34,$D$2,1),0))*24*3600/$AE$2/10^6&gt;$AE$3,$AE$3,R34*DAY(EOMONTH(DATE($B34,$D$2,1),0))*24*3600/$AE$2/10^6)</f>
        <v/>
      </c>
      <c r="E34" s="26">
        <f>IF(S34*DAY(EOMONTH(DATE($B34,$E$2,1),0))*24*3600/$AE$2/10^6&gt;$AE$3,$AE$3,S34*DAY(EOMONTH(DATE($B34,$E$2,1),0))*24*3600/$AE$2/10^6)</f>
        <v/>
      </c>
      <c r="F34" s="26">
        <f>IF(T34*DAY(EOMONTH(DATE($B34,$F$2,1),0))*24*3600/$AE$2/10^6&gt;$AE$3,$AE$3,T34*DAY(EOMONTH(DATE($B34,$F$2,1),0))*24*3600/$AE$2/10^6)</f>
        <v/>
      </c>
      <c r="G34" s="26">
        <f>IF(U34*DAY(EOMONTH(DATE($B34,$G$2,1),0))*24*3600/$AE$2/10^6&gt;$AE$3,$AE$3,U34*DAY(EOMONTH(DATE($B34,$G$2,1),0))*24*3600/$AE$2/10^6)</f>
        <v/>
      </c>
      <c r="H34" s="26">
        <f>IF(V34*DAY(EOMONTH(DATE($B34,$H$2,1),0))*24*3600/$AE$2/10^6&gt;$AE$3,$AE$3,V34*DAY(EOMONTH(DATE($B34,$H$2,1),0))*24*3600/$AE$2/10^6)</f>
        <v/>
      </c>
      <c r="I34" s="26">
        <f>IF(W34*DAY(EOMONTH(DATE($B34,$I$2,1),0))*24*3600/$AE$2/10^6&gt;$AE$3,$AE$3,W34*DAY(EOMONTH(DATE($B34,$I$2,1),0))*24*3600/$AE$2/10^6)</f>
        <v/>
      </c>
      <c r="J34" s="26">
        <f>IF(X34*DAY(EOMONTH(DATE($B34,$J$2,1),0))*24*3600/$AE$2/10^6&gt;$AE$3,$AE$3,X34*DAY(EOMONTH(DATE($B34,$J$2,1),0))*24*3600/$AE$2/10^6)</f>
        <v/>
      </c>
      <c r="K34" s="26">
        <f>IF(Y34*DAY(EOMONTH(DATE($B34,$K$2,1),0))*24*3600/$AE$2/10^6&gt;$AE$3,$AE$3,Y34*DAY(EOMONTH(DATE($B34,$K$2,1),0))*24*3600/$AE$2/10^6)</f>
        <v/>
      </c>
      <c r="L34" s="26">
        <f>IF(Z34*DAY(EOMONTH(DATE($B34,$L$2,1),0))*24*3600/$AE$2/10^6&gt;$AE$3,$AE$3,Z34*DAY(EOMONTH(DATE($B34,$L$2,1),0))*24*3600/$AE$2/10^6)</f>
        <v/>
      </c>
      <c r="M34" s="26">
        <f>IF(AA34*DAY(EOMONTH(DATE($B34,$M$2,1),0))*24*3600/$AE$2/10^6&gt;$AE$3,$AE$3,AA34*DAY(EOMONTH(DATE($B34,$M$2,1),0))*24*3600/$AE$2/10^6)</f>
        <v/>
      </c>
      <c r="N34" s="26">
        <f>IF(AB34*DAY(EOMONTH(DATE($B34,$N$2,1),0))*24*3600/$AE$2/10^6&gt;$AE$3,$AE$3,AB34*DAY(EOMONTH(DATE($B34,$N$2,1),0))*24*3600/$AE$2/10^6)</f>
        <v/>
      </c>
      <c r="O34" s="27">
        <f>SUM(C34:N34)</f>
        <v/>
      </c>
      <c r="Q34" s="28" t="n">
        <v>168.1026234774461</v>
      </c>
      <c r="R34" s="28" t="n">
        <v>102.275633137788</v>
      </c>
      <c r="S34" s="28" t="n">
        <v>74.73326194619196</v>
      </c>
      <c r="T34" s="28" t="n">
        <v>68.46047026279392</v>
      </c>
      <c r="U34" s="28" t="n">
        <v>172.0244947128899</v>
      </c>
      <c r="V34" s="28" t="n">
        <v>166.7008160442601</v>
      </c>
      <c r="W34" s="28" t="n">
        <v>176.3512648909115</v>
      </c>
      <c r="X34" s="28" t="n">
        <v>288.4912996921429</v>
      </c>
      <c r="Y34" s="28" t="n">
        <v>345.5317980636238</v>
      </c>
      <c r="Z34" s="28" t="n">
        <v>398.6050327934681</v>
      </c>
      <c r="AA34" s="28" t="n">
        <v>543.79918395574</v>
      </c>
      <c r="AB34" s="28" t="n">
        <v>422.0127024494713</v>
      </c>
    </row>
    <row r="35">
      <c r="B35" t="n">
        <v>2009</v>
      </c>
      <c r="C35" s="26">
        <f>IF(Q35*DAY(EOMONTH(DATE($B35,$C$2,1),0))*24*3600/$AE$2/10^6&gt;$AE$3,$AE$3,Q35*DAY(EOMONTH(DATE($B35,$C$2,1),0))*24*3600/$AE$2/10^6)</f>
        <v/>
      </c>
      <c r="D35" s="26">
        <f>IF(R35*DAY(EOMONTH(DATE($B35,$D$2,1),0))*24*3600/$AE$2/10^6&gt;$AE$3,$AE$3,R35*DAY(EOMONTH(DATE($B35,$D$2,1),0))*24*3600/$AE$2/10^6)</f>
        <v/>
      </c>
      <c r="E35" s="26">
        <f>IF(S35*DAY(EOMONTH(DATE($B35,$E$2,1),0))*24*3600/$AE$2/10^6&gt;$AE$3,$AE$3,S35*DAY(EOMONTH(DATE($B35,$E$2,1),0))*24*3600/$AE$2/10^6)</f>
        <v/>
      </c>
      <c r="F35" s="26">
        <f>IF(T35*DAY(EOMONTH(DATE($B35,$F$2,1),0))*24*3600/$AE$2/10^6&gt;$AE$3,$AE$3,T35*DAY(EOMONTH(DATE($B35,$F$2,1),0))*24*3600/$AE$2/10^6)</f>
        <v/>
      </c>
      <c r="G35" s="26">
        <f>IF(U35*DAY(EOMONTH(DATE($B35,$G$2,1),0))*24*3600/$AE$2/10^6&gt;$AE$3,$AE$3,U35*DAY(EOMONTH(DATE($B35,$G$2,1),0))*24*3600/$AE$2/10^6)</f>
        <v/>
      </c>
      <c r="H35" s="26">
        <f>IF(V35*DAY(EOMONTH(DATE($B35,$H$2,1),0))*24*3600/$AE$2/10^6&gt;$AE$3,$AE$3,V35*DAY(EOMONTH(DATE($B35,$H$2,1),0))*24*3600/$AE$2/10^6)</f>
        <v/>
      </c>
      <c r="I35" s="26">
        <f>IF(W35*DAY(EOMONTH(DATE($B35,$I$2,1),0))*24*3600/$AE$2/10^6&gt;$AE$3,$AE$3,W35*DAY(EOMONTH(DATE($B35,$I$2,1),0))*24*3600/$AE$2/10^6)</f>
        <v/>
      </c>
      <c r="J35" s="26">
        <f>IF(X35*DAY(EOMONTH(DATE($B35,$J$2,1),0))*24*3600/$AE$2/10^6&gt;$AE$3,$AE$3,X35*DAY(EOMONTH(DATE($B35,$J$2,1),0))*24*3600/$AE$2/10^6)</f>
        <v/>
      </c>
      <c r="K35" s="26">
        <f>IF(Y35*DAY(EOMONTH(DATE($B35,$K$2,1),0))*24*3600/$AE$2/10^6&gt;$AE$3,$AE$3,Y35*DAY(EOMONTH(DATE($B35,$K$2,1),0))*24*3600/$AE$2/10^6)</f>
        <v/>
      </c>
      <c r="L35" s="26">
        <f>IF(Z35*DAY(EOMONTH(DATE($B35,$L$2,1),0))*24*3600/$AE$2/10^6&gt;$AE$3,$AE$3,Z35*DAY(EOMONTH(DATE($B35,$L$2,1),0))*24*3600/$AE$2/10^6)</f>
        <v/>
      </c>
      <c r="M35" s="26">
        <f>IF(AA35*DAY(EOMONTH(DATE($B35,$M$2,1),0))*24*3600/$AE$2/10^6&gt;$AE$3,$AE$3,AA35*DAY(EOMONTH(DATE($B35,$M$2,1),0))*24*3600/$AE$2/10^6)</f>
        <v/>
      </c>
      <c r="N35" s="26">
        <f>IF(AB35*DAY(EOMONTH(DATE($B35,$N$2,1),0))*24*3600/$AE$2/10^6&gt;$AE$3,$AE$3,AB35*DAY(EOMONTH(DATE($B35,$N$2,1),0))*24*3600/$AE$2/10^6)</f>
        <v/>
      </c>
      <c r="O35" s="27">
        <f>SUM(C35:N35)</f>
        <v/>
      </c>
      <c r="Q35" s="28" t="n">
        <v>168</v>
      </c>
      <c r="R35" s="28" t="n">
        <v>102</v>
      </c>
      <c r="S35" s="28" t="n">
        <v>74.7</v>
      </c>
      <c r="T35" s="28" t="n">
        <v>68.5</v>
      </c>
      <c r="U35" s="28" t="n">
        <v>172</v>
      </c>
      <c r="V35" s="28" t="n">
        <v>167</v>
      </c>
      <c r="W35" s="28" t="n">
        <v>176</v>
      </c>
      <c r="X35" s="28" t="n">
        <v>288</v>
      </c>
      <c r="Y35" s="28" t="n">
        <v>346</v>
      </c>
      <c r="Z35" s="28" t="n">
        <v>399</v>
      </c>
      <c r="AA35" s="28" t="n">
        <v>544</v>
      </c>
      <c r="AB35" s="28" t="n">
        <v>422</v>
      </c>
    </row>
    <row r="36">
      <c r="A36" s="7" t="n"/>
      <c r="B36" s="8" t="n">
        <v>2010</v>
      </c>
      <c r="C36" s="26">
        <f>IF(Q36*DAY(EOMONTH(DATE($B36,$C$2,1),0))*24*3600/$AE$2/10^6&gt;$AE$3,$AE$3,Q36*DAY(EOMONTH(DATE($B36,$C$2,1),0))*24*3600/$AE$2/10^6)</f>
        <v/>
      </c>
      <c r="D36" s="26">
        <f>IF(R36*DAY(EOMONTH(DATE($B36,$D$2,1),0))*24*3600/$AE$2/10^6&gt;$AE$3,$AE$3,R36*DAY(EOMONTH(DATE($B36,$D$2,1),0))*24*3600/$AE$2/10^6)</f>
        <v/>
      </c>
      <c r="E36" s="26">
        <f>IF(S36*DAY(EOMONTH(DATE($B36,$E$2,1),0))*24*3600/$AE$2/10^6&gt;$AE$3,$AE$3,S36*DAY(EOMONTH(DATE($B36,$E$2,1),0))*24*3600/$AE$2/10^6)</f>
        <v/>
      </c>
      <c r="F36" s="26">
        <f>IF(T36*DAY(EOMONTH(DATE($B36,$F$2,1),0))*24*3600/$AE$2/10^6&gt;$AE$3,$AE$3,T36*DAY(EOMONTH(DATE($B36,$F$2,1),0))*24*3600/$AE$2/10^6)</f>
        <v/>
      </c>
      <c r="G36" s="26">
        <f>IF(U36*DAY(EOMONTH(DATE($B36,$G$2,1),0))*24*3600/$AE$2/10^6&gt;$AE$3,$AE$3,U36*DAY(EOMONTH(DATE($B36,$G$2,1),0))*24*3600/$AE$2/10^6)</f>
        <v/>
      </c>
      <c r="H36" s="26">
        <f>IF(V36*DAY(EOMONTH(DATE($B36,$H$2,1),0))*24*3600/$AE$2/10^6&gt;$AE$3,$AE$3,V36*DAY(EOMONTH(DATE($B36,$H$2,1),0))*24*3600/$AE$2/10^6)</f>
        <v/>
      </c>
      <c r="I36" s="26">
        <f>IF(W36*DAY(EOMONTH(DATE($B36,$I$2,1),0))*24*3600/$AE$2/10^6&gt;$AE$3,$AE$3,W36*DAY(EOMONTH(DATE($B36,$I$2,1),0))*24*3600/$AE$2/10^6)</f>
        <v/>
      </c>
      <c r="J36" s="26">
        <f>IF(X36*DAY(EOMONTH(DATE($B36,$J$2,1),0))*24*3600/$AE$2/10^6&gt;$AE$3,$AE$3,X36*DAY(EOMONTH(DATE($B36,$J$2,1),0))*24*3600/$AE$2/10^6)</f>
        <v/>
      </c>
      <c r="K36" s="26">
        <f>IF(Y36*DAY(EOMONTH(DATE($B36,$K$2,1),0))*24*3600/$AE$2/10^6&gt;$AE$3,$AE$3,Y36*DAY(EOMONTH(DATE($B36,$K$2,1),0))*24*3600/$AE$2/10^6)</f>
        <v/>
      </c>
      <c r="L36" s="26">
        <f>IF(Z36*DAY(EOMONTH(DATE($B36,$L$2,1),0))*24*3600/$AE$2/10^6&gt;$AE$3,$AE$3,Z36*DAY(EOMONTH(DATE($B36,$L$2,1),0))*24*3600/$AE$2/10^6)</f>
        <v/>
      </c>
      <c r="M36" s="26">
        <f>IF(AA36*DAY(EOMONTH(DATE($B36,$M$2,1),0))*24*3600/$AE$2/10^6&gt;$AE$3,$AE$3,AA36*DAY(EOMONTH(DATE($B36,$M$2,1),0))*24*3600/$AE$2/10^6)</f>
        <v/>
      </c>
      <c r="N36" s="26">
        <f>IF(AB36*DAY(EOMONTH(DATE($B36,$N$2,1),0))*24*3600/$AE$2/10^6&gt;$AE$3,$AE$3,AB36*DAY(EOMONTH(DATE($B36,$N$2,1),0))*24*3600/$AE$2/10^6)</f>
        <v/>
      </c>
      <c r="O36" s="27">
        <f>SUM(C36:N36)</f>
        <v/>
      </c>
      <c r="Q36" s="28" t="n">
        <v>73.0756400409627</v>
      </c>
      <c r="R36" s="28" t="n">
        <v>42.59696475812547</v>
      </c>
      <c r="S36" s="28" t="n">
        <v>65.39370093019286</v>
      </c>
      <c r="T36" s="28" t="n">
        <v>50.98084656084662</v>
      </c>
      <c r="U36" s="28" t="n">
        <v>50.06972392899812</v>
      </c>
      <c r="V36" s="28" t="n">
        <v>84.60545359347431</v>
      </c>
      <c r="W36" s="28" t="n">
        <v>142.0116487455198</v>
      </c>
      <c r="X36" s="28" t="n">
        <v>167.8612727214542</v>
      </c>
      <c r="Y36" s="28" t="n">
        <v>209.1355268959435</v>
      </c>
      <c r="Z36" s="28" t="n">
        <v>164.8164687873358</v>
      </c>
      <c r="AA36" s="28" t="n">
        <v>523.5631263227511</v>
      </c>
      <c r="AB36" s="28" t="n">
        <v>311.8439476126471</v>
      </c>
    </row>
    <row r="37" ht="15" customHeight="1">
      <c r="B37" s="1" t="n">
        <v>2011</v>
      </c>
      <c r="C37" s="28">
        <f>'[1]2011'!C4</f>
        <v/>
      </c>
      <c r="D37" s="28">
        <f>'[1]2011'!D4</f>
        <v/>
      </c>
      <c r="E37" s="28">
        <f>'[1]2011'!E4</f>
        <v/>
      </c>
      <c r="F37" s="28">
        <f>'[1]2011'!F4</f>
        <v/>
      </c>
      <c r="G37" s="28">
        <f>'[1]2011'!G4</f>
        <v/>
      </c>
      <c r="H37" s="28">
        <f>'[1]2011'!H4</f>
        <v/>
      </c>
      <c r="I37" s="28">
        <f>'[1]2011'!I4</f>
        <v/>
      </c>
      <c r="J37" s="28">
        <f>'[1]2011'!J4</f>
        <v/>
      </c>
      <c r="K37" s="28">
        <f>'[1]2011'!K4</f>
        <v/>
      </c>
      <c r="L37" s="28">
        <f>'[1]2011'!L4</f>
        <v/>
      </c>
      <c r="M37" s="28">
        <f>'[1]2011'!M4</f>
        <v/>
      </c>
      <c r="N37" s="28">
        <f>'[1]2011'!N4</f>
        <v/>
      </c>
      <c r="O37" s="29">
        <f>SUM(C37:N37)</f>
        <v/>
      </c>
      <c r="Q37" s="28" t="n">
        <v>102.5295800264552</v>
      </c>
      <c r="R37" s="28" t="n">
        <v>51.78529443027198</v>
      </c>
      <c r="S37" s="28" t="n">
        <v>95.84034764891622</v>
      </c>
      <c r="T37" s="28" t="n">
        <v>86.30294422398582</v>
      </c>
      <c r="U37" s="28" t="n">
        <v>63.98630685697202</v>
      </c>
      <c r="V37" s="28" t="n">
        <v>207.3221919091713</v>
      </c>
      <c r="W37" s="28" t="n">
        <v>206.3761222051545</v>
      </c>
      <c r="X37" s="28" t="n">
        <v>246.5064030764634</v>
      </c>
      <c r="Y37" s="28" t="n">
        <v>256.3664610890654</v>
      </c>
      <c r="Z37" s="28" t="n">
        <v>521.4468195297833</v>
      </c>
      <c r="AA37" s="28" t="n">
        <v>296.2638689373899</v>
      </c>
      <c r="AB37" s="28" t="n">
        <v>217.2683163722477</v>
      </c>
    </row>
    <row r="38" ht="15" customHeight="1">
      <c r="B38" s="1" t="n">
        <v>2012</v>
      </c>
      <c r="C38" s="28">
        <f>'[1]2012'!C4</f>
        <v/>
      </c>
      <c r="D38" s="28">
        <f>'[1]2012'!D4</f>
        <v/>
      </c>
      <c r="E38" s="28">
        <f>'[1]2012'!E4</f>
        <v/>
      </c>
      <c r="F38" s="28">
        <f>'[1]2012'!F4</f>
        <v/>
      </c>
      <c r="G38" s="28">
        <f>'[1]2012'!G4</f>
        <v/>
      </c>
      <c r="H38" s="28">
        <f>'[1]2012'!H4</f>
        <v/>
      </c>
      <c r="I38" s="28">
        <f>'[1]2012'!I4</f>
        <v/>
      </c>
      <c r="J38" s="28">
        <f>'[1]2012'!J4</f>
        <v/>
      </c>
      <c r="K38" s="28">
        <f>'[1]2012'!K4</f>
        <v/>
      </c>
      <c r="L38" s="28">
        <f>'[1]2012'!L4</f>
        <v/>
      </c>
      <c r="M38" s="28">
        <f>'[1]2012'!M4</f>
        <v/>
      </c>
      <c r="N38" s="28">
        <f>'[1]2012'!N4</f>
        <v/>
      </c>
      <c r="O38" s="30">
        <f>SUM(C38:N38)</f>
        <v/>
      </c>
      <c r="Q38" s="28" t="n">
        <v>107.804505888377</v>
      </c>
      <c r="R38" s="28" t="n">
        <v>88.78174021620124</v>
      </c>
      <c r="S38" s="28" t="n">
        <v>106.7473233486944</v>
      </c>
      <c r="T38" s="28" t="n">
        <v>139.1905836640208</v>
      </c>
      <c r="U38" s="28" t="n">
        <v>166.9608749359964</v>
      </c>
      <c r="V38" s="28" t="n">
        <v>117.4901071428568</v>
      </c>
      <c r="W38" s="28" t="n">
        <v>142.8782978110601</v>
      </c>
      <c r="X38" s="28" t="n">
        <v>138.9424290621267</v>
      </c>
      <c r="Y38" s="28" t="n">
        <v>215.8612059082893</v>
      </c>
      <c r="Z38" s="28" t="n">
        <v>396.0851821983273</v>
      </c>
      <c r="AA38" s="28" t="n">
        <v>198.777818893298</v>
      </c>
      <c r="AB38" s="28" t="n">
        <v>100.2183285330261</v>
      </c>
    </row>
    <row r="39" ht="15" customHeight="1">
      <c r="B39" s="1" t="n">
        <v>2013</v>
      </c>
      <c r="C39" s="28">
        <f>'[1]2013'!C4</f>
        <v/>
      </c>
      <c r="D39" s="28">
        <f>'[1]2013'!D4</f>
        <v/>
      </c>
      <c r="E39" s="28">
        <f>'[1]2013'!E4</f>
        <v/>
      </c>
      <c r="F39" s="28">
        <f>'[1]2013'!F4</f>
        <v/>
      </c>
      <c r="G39" s="28">
        <f>'[1]2013'!G4</f>
        <v/>
      </c>
      <c r="H39" s="28">
        <f>'[1]2013'!H4</f>
        <v/>
      </c>
      <c r="I39" s="28">
        <f>'[1]2013'!I4</f>
        <v/>
      </c>
      <c r="J39" s="28">
        <f>'[1]2013'!J4</f>
        <v/>
      </c>
      <c r="K39" s="28">
        <f>'[1]2013'!K4</f>
        <v/>
      </c>
      <c r="L39" s="28">
        <f>'[1]2013'!L4</f>
        <v/>
      </c>
      <c r="M39" s="28">
        <f>'[1]2013'!M4</f>
        <v/>
      </c>
      <c r="N39" s="28">
        <f>'[1]2013'!N4</f>
        <v/>
      </c>
      <c r="O39" s="30">
        <f>SUM(C39:N39)</f>
        <v/>
      </c>
      <c r="Q39" s="28" t="n">
        <v>63.12712216248502</v>
      </c>
      <c r="R39" s="28" t="n">
        <v>43.62188468442947</v>
      </c>
      <c r="S39" s="28" t="n">
        <v>60.75331050520559</v>
      </c>
      <c r="T39" s="28" t="n">
        <v>56.52883101851856</v>
      </c>
      <c r="U39" s="28" t="n">
        <v>79.14766363713944</v>
      </c>
      <c r="V39" s="28" t="n">
        <v>159.4425285493826</v>
      </c>
      <c r="W39" s="28" t="n">
        <v>202.2872343830006</v>
      </c>
      <c r="X39" s="28" t="n">
        <v>193.7323243087559</v>
      </c>
      <c r="Y39" s="28" t="n">
        <v>247.0814263668429</v>
      </c>
      <c r="Z39" s="28" t="n">
        <v>397.5952183606419</v>
      </c>
      <c r="AA39" s="28" t="n">
        <v>242.3514425705466</v>
      </c>
      <c r="AB39" s="28" t="n">
        <v>141.8335608678955</v>
      </c>
    </row>
    <row r="40" ht="15" customHeight="1">
      <c r="B40" s="1" t="n">
        <v>2014</v>
      </c>
      <c r="C40" s="28">
        <f>'[1]2014'!C4</f>
        <v/>
      </c>
      <c r="D40" s="28">
        <f>'[1]2014'!D4</f>
        <v/>
      </c>
      <c r="E40" s="28">
        <f>'[1]2014'!E4</f>
        <v/>
      </c>
      <c r="F40" s="28">
        <f>'[1]2014'!F4</f>
        <v/>
      </c>
      <c r="G40" s="28">
        <f>'[1]2014'!G4</f>
        <v/>
      </c>
      <c r="H40" s="28">
        <f>'[1]2014'!H4</f>
        <v/>
      </c>
      <c r="I40" s="28">
        <f>'[1]2014'!I4</f>
        <v/>
      </c>
      <c r="J40" s="28">
        <f>'[1]2014'!J4</f>
        <v/>
      </c>
      <c r="K40" s="28">
        <f>'[1]2014'!K4</f>
        <v/>
      </c>
      <c r="L40" s="28">
        <f>'[1]2014'!L4</f>
        <v/>
      </c>
      <c r="M40" s="28">
        <f>'[1]2014'!M4</f>
        <v/>
      </c>
      <c r="N40" s="28">
        <f>'[1]2014'!N4</f>
        <v/>
      </c>
      <c r="O40" s="30">
        <f>SUM(C40:N40)</f>
        <v/>
      </c>
      <c r="Q40" s="28" t="n">
        <v>93.21067791005281</v>
      </c>
      <c r="R40" s="28" t="n">
        <v>85.13257818405141</v>
      </c>
      <c r="S40" s="28" t="n">
        <v>96.81132488479271</v>
      </c>
      <c r="T40" s="28" t="n">
        <v>61.1311642416225</v>
      </c>
      <c r="U40" s="28" t="n">
        <v>75.17911962365599</v>
      </c>
      <c r="V40" s="28" t="n">
        <v>132.8820078262788</v>
      </c>
      <c r="W40" s="28" t="n">
        <v>298.584658431473</v>
      </c>
      <c r="X40" s="28" t="n">
        <v>310.1737245050349</v>
      </c>
      <c r="Y40" s="28" t="n">
        <v>254.1289460978836</v>
      </c>
      <c r="Z40" s="28" t="n">
        <v>239.0448474569041</v>
      </c>
      <c r="AA40" s="28" t="n">
        <v>111.3638073192235</v>
      </c>
      <c r="AB40" s="28" t="n">
        <v>98.8694818868407</v>
      </c>
    </row>
    <row r="41" ht="15" customHeight="1">
      <c r="B41" s="1" t="n">
        <v>2015</v>
      </c>
      <c r="C41" s="28">
        <f>'[1]2015'!C4</f>
        <v/>
      </c>
      <c r="D41" s="28">
        <f>'[1]2015'!D4</f>
        <v/>
      </c>
      <c r="E41" s="28">
        <f>'[1]2015'!E4</f>
        <v/>
      </c>
      <c r="F41" s="28">
        <f>'[1]2015'!F4</f>
        <v/>
      </c>
      <c r="G41" s="28">
        <f>'[1]2015'!G4</f>
        <v/>
      </c>
      <c r="H41" s="28">
        <f>'[1]2015'!H4</f>
        <v/>
      </c>
      <c r="I41" s="28">
        <f>'[1]2015'!I4</f>
        <v/>
      </c>
      <c r="J41" s="28">
        <f>'[1]2015'!J4</f>
        <v/>
      </c>
      <c r="K41" s="28">
        <f>'[1]2015'!K4</f>
        <v/>
      </c>
      <c r="L41" s="28">
        <f>'[1]2015'!L4</f>
        <v/>
      </c>
      <c r="M41" s="28">
        <f>'[1]2015'!M4</f>
        <v/>
      </c>
      <c r="N41" s="28">
        <f>'[1]2015'!N4</f>
        <v/>
      </c>
      <c r="O41" s="30">
        <f>SUM(C41:N41)</f>
        <v/>
      </c>
      <c r="Q41" s="28" t="n">
        <v>76.86549816521621</v>
      </c>
      <c r="R41" s="28" t="n">
        <v>53.1082233796299</v>
      </c>
      <c r="S41" s="28" t="n">
        <v>58.29260048643089</v>
      </c>
      <c r="T41" s="28" t="n">
        <v>59.10511155202843</v>
      </c>
      <c r="U41" s="28" t="n">
        <v>58.00943068356344</v>
      </c>
      <c r="V41" s="28" t="n">
        <v>91.98796211970898</v>
      </c>
      <c r="W41" s="28" t="n">
        <v>170.7467253370882</v>
      </c>
      <c r="X41" s="28" t="n">
        <v>182.6564516129033</v>
      </c>
      <c r="Y41" s="28" t="n">
        <v>151.2576860670194</v>
      </c>
      <c r="Z41" s="28" t="n">
        <v>111.812864289981</v>
      </c>
      <c r="AA41" s="28" t="n">
        <v>87.66292427248678</v>
      </c>
      <c r="AB41" s="28" t="n">
        <v>76.22209197388663</v>
      </c>
    </row>
    <row r="42" ht="15" customHeight="1">
      <c r="B42" s="1" t="n">
        <v>2016</v>
      </c>
      <c r="C42" s="28">
        <f>'[1]2016'!C4</f>
        <v/>
      </c>
      <c r="D42" s="28">
        <f>'[1]2016'!D4</f>
        <v/>
      </c>
      <c r="E42" s="28">
        <f>'[1]2016'!E4</f>
        <v/>
      </c>
      <c r="F42" s="28">
        <f>'[1]2016'!F4</f>
        <v/>
      </c>
      <c r="G42" s="28">
        <f>'[1]2016'!G4</f>
        <v/>
      </c>
      <c r="H42" s="28">
        <f>'[1]2016'!H4</f>
        <v/>
      </c>
      <c r="I42" s="28">
        <f>'[1]2016'!I4</f>
        <v/>
      </c>
      <c r="J42" s="28">
        <f>'[1]2016'!J4</f>
        <v/>
      </c>
      <c r="K42" s="28">
        <f>'[1]2016'!K4</f>
        <v/>
      </c>
      <c r="L42" s="28">
        <f>'[1]2016'!L4</f>
        <v/>
      </c>
      <c r="M42" s="28">
        <f>'[1]2016'!M4</f>
        <v/>
      </c>
      <c r="N42" s="28">
        <f>'[1]2016'!N4</f>
        <v/>
      </c>
      <c r="O42" s="30">
        <f>SUM(C42:N42)</f>
        <v/>
      </c>
      <c r="Q42" s="28" t="n">
        <v>70.39235780423277</v>
      </c>
      <c r="R42" s="28" t="n">
        <v>43.48714390622137</v>
      </c>
      <c r="S42" s="28" t="n">
        <v>45.85562222648891</v>
      </c>
      <c r="T42" s="28" t="n">
        <v>47.57216071428588</v>
      </c>
      <c r="U42" s="28" t="n">
        <v>57.76590117767508</v>
      </c>
      <c r="V42" s="28" t="n">
        <v>91.75390961199342</v>
      </c>
      <c r="W42" s="28" t="n">
        <v>143.9573814857482</v>
      </c>
      <c r="X42" s="28" t="n">
        <v>155.5818294504183</v>
      </c>
      <c r="Y42" s="28" t="n">
        <v>123.9304475308643</v>
      </c>
      <c r="Z42" s="28" t="n">
        <v>235.8100387224779</v>
      </c>
      <c r="AA42" s="28" t="n">
        <v>504.5286980820111</v>
      </c>
      <c r="AB42" s="28" t="n">
        <v>439.250578703704</v>
      </c>
    </row>
    <row r="43" ht="15" customHeight="1">
      <c r="B43" s="1" t="n">
        <v>2017</v>
      </c>
      <c r="C43" s="28">
        <f>'[1]2017'!C4</f>
        <v/>
      </c>
      <c r="D43" s="28">
        <f>'[1]2017'!D4</f>
        <v/>
      </c>
      <c r="E43" s="28">
        <f>'[1]2017'!E4</f>
        <v/>
      </c>
      <c r="F43" s="28">
        <f>'[1]2017'!F4</f>
        <v/>
      </c>
      <c r="G43" s="28">
        <f>'[1]2017'!G4</f>
        <v/>
      </c>
      <c r="H43" s="28">
        <f>'[1]2017'!H4</f>
        <v/>
      </c>
      <c r="I43" s="28">
        <f>'[1]2017'!I4</f>
        <v/>
      </c>
      <c r="J43" s="28">
        <f>'[1]2017'!J4</f>
        <v/>
      </c>
      <c r="K43" s="28">
        <f>'[1]2017'!K4</f>
        <v/>
      </c>
      <c r="L43" s="28">
        <f>'[1]2017'!L4</f>
        <v/>
      </c>
      <c r="M43" s="28">
        <f>'[1]2017'!M4</f>
        <v/>
      </c>
      <c r="N43" s="28">
        <f>'[1]2017'!N4</f>
        <v/>
      </c>
      <c r="O43" s="31">
        <f>SUM(C43:N43)</f>
        <v/>
      </c>
      <c r="Q43" s="28" t="n">
        <v>222.9105720899467</v>
      </c>
      <c r="R43" s="28" t="n">
        <v>147.1955425378145</v>
      </c>
      <c r="S43" s="28" t="n">
        <v>94.03958762414757</v>
      </c>
      <c r="T43" s="28" t="n">
        <v>119.3214792662208</v>
      </c>
      <c r="U43" s="28" t="n">
        <v>209.1946387006516</v>
      </c>
      <c r="V43" s="28" t="n">
        <v>293.8530429135207</v>
      </c>
      <c r="W43" s="28" t="n">
        <v>238.3886304190134</v>
      </c>
      <c r="X43" s="28" t="n">
        <v>264.4679694573211</v>
      </c>
      <c r="Y43" s="28" t="n">
        <v>278.7085837672345</v>
      </c>
      <c r="Z43" s="28" t="n">
        <v>306.8267306902769</v>
      </c>
      <c r="AA43" s="28" t="n">
        <v>394.4795934744274</v>
      </c>
      <c r="AB43" s="28" t="n">
        <v>417.737058798429</v>
      </c>
    </row>
    <row r="44" ht="15" customHeight="1">
      <c r="B44" s="1" t="n">
        <v>2018</v>
      </c>
      <c r="C44" s="28">
        <f>'[1]2018'!C4</f>
        <v/>
      </c>
      <c r="D44" s="28">
        <f>'[1]2018'!D4</f>
        <v/>
      </c>
      <c r="E44" s="28">
        <f>'[1]2018'!E4</f>
        <v/>
      </c>
      <c r="F44" s="28">
        <f>'[1]2018'!F4</f>
        <v/>
      </c>
      <c r="G44" s="28">
        <f>'[1]2018'!G4</f>
        <v/>
      </c>
      <c r="H44" s="28">
        <f>'[1]2018'!H4</f>
        <v/>
      </c>
      <c r="I44" s="28">
        <f>'[1]2018'!I4</f>
        <v/>
      </c>
      <c r="J44" s="28">
        <f>'[1]2018'!J4</f>
        <v/>
      </c>
      <c r="K44" s="28">
        <f>'[1]2018'!K4</f>
        <v/>
      </c>
      <c r="L44" s="28">
        <f>'[1]2018'!L4</f>
        <v/>
      </c>
      <c r="M44" s="28">
        <f>'[1]2018'!M4</f>
        <v/>
      </c>
      <c r="N44" s="28">
        <f>'[1]2018'!N4</f>
        <v/>
      </c>
      <c r="O44" s="30">
        <f>SUM(C44:N44)</f>
        <v/>
      </c>
      <c r="Q44" s="28" t="n">
        <v>195.8853398617519</v>
      </c>
      <c r="R44" s="28" t="n">
        <v>110.0990369897963</v>
      </c>
      <c r="S44" s="28" t="n">
        <v>109.6233467253255</v>
      </c>
      <c r="T44" s="28" t="n">
        <v>100.1969582736004</v>
      </c>
      <c r="U44" s="28" t="n">
        <v>88.83488276583049</v>
      </c>
      <c r="V44" s="28" t="n">
        <v>116.4819733347872</v>
      </c>
      <c r="W44" s="28" t="n">
        <v>182.1058096518176</v>
      </c>
      <c r="X44" s="28" t="n">
        <v>220.8179255205669</v>
      </c>
      <c r="Y44" s="28" t="n">
        <v>307.0658982583774</v>
      </c>
      <c r="Z44" s="28" t="n">
        <v>224.2887607740231</v>
      </c>
      <c r="AA44" s="28" t="n">
        <v>142.8811750440913</v>
      </c>
      <c r="AB44" s="28" t="n">
        <v>177.0554742703537</v>
      </c>
    </row>
    <row r="45" ht="15" customHeight="1">
      <c r="B45" s="1" t="n">
        <v>2019</v>
      </c>
      <c r="C45" s="28">
        <f>'[1]2019'!C4</f>
        <v/>
      </c>
      <c r="D45" s="28">
        <f>'[1]2019'!D4</f>
        <v/>
      </c>
      <c r="E45" s="28">
        <f>'[1]2019'!E4</f>
        <v/>
      </c>
      <c r="F45" s="28">
        <f>'[1]2019'!F4</f>
        <v/>
      </c>
      <c r="G45" s="28">
        <f>'[1]2019'!G4</f>
        <v/>
      </c>
      <c r="H45" s="28">
        <f>'[1]2019'!H4</f>
        <v/>
      </c>
      <c r="I45" s="28">
        <f>'[1]2019'!I4</f>
        <v/>
      </c>
      <c r="J45" s="28">
        <f>'[1]2019'!J4</f>
        <v/>
      </c>
      <c r="K45" s="28">
        <f>'[1]2019'!K4</f>
        <v/>
      </c>
      <c r="L45" s="28">
        <f>'[1]2019'!L4</f>
        <v/>
      </c>
      <c r="M45" s="28">
        <f>'[1]2019'!M4</f>
        <v/>
      </c>
      <c r="N45" s="28">
        <f>'[1]2019'!N4</f>
        <v/>
      </c>
      <c r="O45" s="30">
        <f>SUM(C45:N45)</f>
        <v/>
      </c>
      <c r="Q45" s="28" t="n">
        <v>191.7142548557778</v>
      </c>
      <c r="R45" s="28" t="n">
        <v>85.03203120345984</v>
      </c>
      <c r="S45" s="28" t="n">
        <v>95.81271702722191</v>
      </c>
      <c r="T45" s="28" t="n">
        <v>79.89077993546721</v>
      </c>
      <c r="U45" s="28" t="n">
        <v>79.71989620669044</v>
      </c>
      <c r="V45" s="28" t="n">
        <v>98.34242939705763</v>
      </c>
      <c r="W45" s="28" t="n">
        <v>83.88846750507162</v>
      </c>
      <c r="X45" s="28" t="n">
        <v>228.9079410200131</v>
      </c>
      <c r="Y45" s="28" t="n">
        <v>279.3941556437388</v>
      </c>
      <c r="Z45" s="28" t="n">
        <v>207.8049485833762</v>
      </c>
      <c r="AA45" s="28" t="n">
        <v>361.9901896076848</v>
      </c>
      <c r="AB45" s="28" t="n">
        <v>130.8222424901864</v>
      </c>
    </row>
    <row r="46" ht="15" customHeight="1">
      <c r="B46" s="1" t="n">
        <v>2020</v>
      </c>
      <c r="C46" s="28">
        <f>'[1]2020'!C4</f>
        <v/>
      </c>
      <c r="D46" s="28">
        <f>'[1]2020'!D4</f>
        <v/>
      </c>
      <c r="E46" s="28">
        <f>'[1]2020'!E4</f>
        <v/>
      </c>
      <c r="F46" s="28">
        <f>'[1]2020'!F4</f>
        <v/>
      </c>
      <c r="G46" s="28">
        <f>'[1]2020'!G4</f>
        <v/>
      </c>
      <c r="H46" s="28">
        <f>'[1]2020'!H4</f>
        <v/>
      </c>
      <c r="I46" s="28">
        <f>'[1]2020'!I4</f>
        <v/>
      </c>
      <c r="J46" s="28">
        <f>'[1]2020'!J4</f>
        <v/>
      </c>
      <c r="K46" s="28">
        <f>'[1]2020'!K4</f>
        <v/>
      </c>
      <c r="L46" s="28">
        <f>'[1]2020'!L4</f>
        <v/>
      </c>
      <c r="M46" s="28">
        <f>'[1]2020'!M4</f>
        <v/>
      </c>
      <c r="N46" s="28">
        <f>'[1]2020'!N4</f>
        <v/>
      </c>
      <c r="O46" s="30">
        <f>SUM(C46:N46)</f>
        <v/>
      </c>
      <c r="Q46" s="28" t="n">
        <v>81.94795306280356</v>
      </c>
      <c r="R46" s="28" t="n">
        <v>71.06377377226136</v>
      </c>
      <c r="S46" s="28" t="n">
        <v>76.2903311827957</v>
      </c>
      <c r="T46" s="28" t="n">
        <v>51.97084444444445</v>
      </c>
      <c r="U46" s="28" t="n">
        <v>54.08872580645161</v>
      </c>
      <c r="V46" s="28" t="n">
        <v>114.6041877777778</v>
      </c>
      <c r="W46" s="28" t="n">
        <v>152.0806569892473</v>
      </c>
      <c r="X46" s="28" t="n">
        <v>294.6357666666666</v>
      </c>
      <c r="Y46" s="28" t="n">
        <v>281.7028011111111</v>
      </c>
      <c r="Z46" s="28" t="n">
        <v>305.0040612903225</v>
      </c>
      <c r="AA46" s="28" t="n">
        <v>375.0722422222222</v>
      </c>
      <c r="AB46" s="28" t="n">
        <v>478.9300666666666</v>
      </c>
    </row>
    <row r="47" ht="15" customHeight="1">
      <c r="B47" s="1" t="n">
        <v>2021</v>
      </c>
      <c r="C47" s="28">
        <f>'[1]2021'!C4</f>
        <v/>
      </c>
      <c r="D47" s="28">
        <f>'[1]2021'!D4</f>
        <v/>
      </c>
      <c r="E47" s="28">
        <f>'[1]2021'!E4</f>
        <v/>
      </c>
      <c r="F47" s="28">
        <f>'[1]2021'!F4</f>
        <v/>
      </c>
      <c r="G47" s="28">
        <f>'[1]2021'!G4</f>
        <v/>
      </c>
      <c r="H47" s="28">
        <f>'[1]2021'!H4</f>
        <v/>
      </c>
      <c r="I47" s="28">
        <f>'[1]2021'!I4</f>
        <v/>
      </c>
      <c r="J47" s="28">
        <f>'[1]2021'!J4</f>
        <v/>
      </c>
      <c r="K47" s="28">
        <f>'[1]2021'!K4</f>
        <v/>
      </c>
      <c r="L47" s="28">
        <f>'[1]2021'!L4</f>
        <v/>
      </c>
      <c r="M47" s="28">
        <f>'[1]2021'!M4</f>
        <v/>
      </c>
      <c r="N47" s="28">
        <f>'[1]2021'!N4</f>
        <v/>
      </c>
      <c r="O47" s="30">
        <f>SUM(C47:N47)</f>
        <v/>
      </c>
      <c r="Q47" s="28" t="n">
        <v>168.7863150537634</v>
      </c>
      <c r="R47" s="28" t="n">
        <v>109.2575369047619</v>
      </c>
      <c r="S47" s="28" t="n">
        <v>96.94162346041058</v>
      </c>
      <c r="T47" s="28" t="n">
        <v>78.85280666666669</v>
      </c>
      <c r="U47" s="28" t="n">
        <v>82.61294193548386</v>
      </c>
      <c r="V47" s="28" t="n">
        <v>81.09031111111113</v>
      </c>
      <c r="W47" s="28" t="n">
        <v>124.711064516129</v>
      </c>
      <c r="X47" s="28" t="n">
        <v>133.4892838709677</v>
      </c>
      <c r="Y47" s="28" t="n">
        <v>267.2180888888888</v>
      </c>
      <c r="Z47" s="28" t="n">
        <v>385.2703956989247</v>
      </c>
      <c r="AA47" s="28" t="n">
        <v>536.5333333333333</v>
      </c>
      <c r="AB47" s="28" t="n">
        <v>429.991935483871</v>
      </c>
    </row>
    <row r="48" ht="15" customHeight="1">
      <c r="B48" s="1" t="n">
        <v>2022</v>
      </c>
      <c r="C48" s="28">
        <f>'[1]2022'!C4</f>
        <v/>
      </c>
      <c r="D48" s="28">
        <f>'[1]2022'!D4</f>
        <v/>
      </c>
      <c r="E48" s="28">
        <f>'[1]2022'!E4</f>
        <v/>
      </c>
      <c r="F48" s="28">
        <f>'[1]2022'!F4</f>
        <v/>
      </c>
      <c r="G48" s="28">
        <f>'[1]2022'!G4</f>
        <v/>
      </c>
      <c r="H48" s="28">
        <f>'[1]2022'!H4</f>
        <v/>
      </c>
      <c r="I48" s="28">
        <f>'[1]2022'!I4</f>
        <v/>
      </c>
      <c r="J48" s="28">
        <f>'[1]2022'!J4</f>
        <v/>
      </c>
      <c r="K48" s="28">
        <f>'[1]2022'!K4</f>
        <v/>
      </c>
      <c r="L48" s="28">
        <f>'[1]2022'!L4</f>
        <v/>
      </c>
      <c r="M48" s="28">
        <f>'[1]2022'!M4</f>
        <v/>
      </c>
      <c r="N48" s="28">
        <f>'[1]2022'!N4</f>
        <v/>
      </c>
      <c r="O48" s="31">
        <f>SUM(C48:N48)</f>
        <v/>
      </c>
      <c r="Q48" s="28" t="n">
        <v>187.2446247311828</v>
      </c>
      <c r="R48" s="28" t="n">
        <v>117.5372023809524</v>
      </c>
      <c r="S48" s="28" t="n">
        <v>117.4314516129032</v>
      </c>
      <c r="T48" s="28" t="n">
        <v>116.6013888888889</v>
      </c>
      <c r="U48" s="28" t="n">
        <v>165.9005913978495</v>
      </c>
      <c r="V48" s="28" t="n">
        <v>183.6653333333334</v>
      </c>
      <c r="W48" s="28" t="n">
        <v>245.8118279569892</v>
      </c>
      <c r="X48" s="28" t="n">
        <v>326.1477305960631</v>
      </c>
      <c r="Y48" s="28" t="n">
        <v>344.3688268955372</v>
      </c>
      <c r="Z48" s="28" t="n">
        <v>375.5904983289648</v>
      </c>
      <c r="AA48" s="28" t="n">
        <v>269.2693534675721</v>
      </c>
      <c r="AB48" s="28" t="n">
        <v>234.7712680786852</v>
      </c>
    </row>
    <row r="49" ht="15" customHeight="1">
      <c r="B49" s="1" t="n">
        <v>2023</v>
      </c>
      <c r="C49" s="28">
        <f>'[1]2023'!C4</f>
        <v/>
      </c>
      <c r="D49" s="28">
        <f>'[1]2023'!D4</f>
        <v/>
      </c>
      <c r="E49" s="28">
        <f>'[1]2023'!E4</f>
        <v/>
      </c>
      <c r="F49" s="28">
        <f>'[1]2023'!F4</f>
        <v/>
      </c>
      <c r="G49" s="28">
        <f>'[1]2023'!G4</f>
        <v/>
      </c>
      <c r="H49" s="28">
        <f>'[1]2023'!H4</f>
        <v/>
      </c>
      <c r="I49" s="28">
        <f>'[1]2023'!I4</f>
        <v/>
      </c>
      <c r="J49" s="28">
        <f>'[1]2023'!J4</f>
        <v/>
      </c>
      <c r="K49" s="28">
        <f>'[1]2023'!K4</f>
        <v/>
      </c>
      <c r="L49" s="28">
        <f>'[1]2023'!L4</f>
        <v/>
      </c>
      <c r="M49" s="28">
        <f>'[1]2023'!M4</f>
        <v/>
      </c>
      <c r="N49" s="28">
        <f>'[1]2023'!N4</f>
        <v/>
      </c>
      <c r="O49" s="30">
        <f>SUM(C49:N49)</f>
        <v/>
      </c>
      <c r="Q49" s="28" t="n">
        <v>174.7376556128477</v>
      </c>
      <c r="R49" s="28" t="n">
        <v>127.356254881448</v>
      </c>
      <c r="S49" s="28" t="n">
        <v>108.6090627524686</v>
      </c>
      <c r="T49" s="28" t="n">
        <v>105.0178971470994</v>
      </c>
      <c r="U49" s="28" t="n">
        <v>64.38545400230504</v>
      </c>
      <c r="V49" s="28" t="n">
        <v>133.5433425924308</v>
      </c>
      <c r="W49" s="28" t="n">
        <v>220.715167218647</v>
      </c>
      <c r="X49" s="28" t="n">
        <v>263.9381645161291</v>
      </c>
      <c r="Y49" s="28" t="n">
        <v>392.7361133333333</v>
      </c>
      <c r="Z49" s="28" t="n">
        <v>340.1895129032258</v>
      </c>
      <c r="AA49" s="28" t="n">
        <v>273.6805466666667</v>
      </c>
      <c r="AB49" s="28" t="n">
        <v>195.7714935483872</v>
      </c>
    </row>
    <row r="50" ht="15" customHeight="1">
      <c r="B50" s="1" t="n">
        <v>2024</v>
      </c>
      <c r="C50" s="28">
        <f>'[1]2024'!C4</f>
        <v/>
      </c>
      <c r="D50" s="28">
        <f>'[1]2024'!D4</f>
        <v/>
      </c>
      <c r="E50" s="28">
        <f>'[1]2024'!E4</f>
        <v/>
      </c>
      <c r="F50" s="28">
        <f>'[1]2024'!F4</f>
        <v/>
      </c>
      <c r="G50" s="28">
        <f>'[1]2024'!G4</f>
        <v/>
      </c>
      <c r="H50" s="28">
        <f>'[1]2024'!H4</f>
        <v/>
      </c>
      <c r="I50" s="28">
        <f>'[1]2024'!I4</f>
        <v/>
      </c>
      <c r="J50" s="28">
        <f>'[1]2024'!J4</f>
        <v/>
      </c>
      <c r="K50" s="28">
        <f>'[1]2024'!K4</f>
        <v/>
      </c>
      <c r="L50" s="28">
        <f>'[1]2024'!L4</f>
        <v/>
      </c>
      <c r="M50" s="28">
        <f>'[1]2024'!M4</f>
        <v/>
      </c>
      <c r="N50" s="28">
        <f>'[1]2024'!N4</f>
        <v/>
      </c>
      <c r="O50" s="30">
        <f>SUM(C50:N50)</f>
        <v/>
      </c>
      <c r="Q50" s="28" t="n">
        <v>113.5430129032258</v>
      </c>
      <c r="R50" s="28" t="n">
        <v>75.31177586206897</v>
      </c>
      <c r="S50" s="28" t="n">
        <v>59.8763516129032</v>
      </c>
      <c r="T50" s="28" t="n">
        <v>62.27</v>
      </c>
      <c r="U50" s="28" t="n">
        <v>78.91935483870969</v>
      </c>
      <c r="V50" s="28" t="n">
        <v>118.2388833333333</v>
      </c>
      <c r="W50" s="28" t="n">
        <v>206.3682838709677</v>
      </c>
      <c r="X50" s="28" t="n">
        <v>267.6894516129033</v>
      </c>
      <c r="Y50" s="28" t="n">
        <v>326.01</v>
      </c>
      <c r="Z50" s="28" t="n">
        <v>290.9529483870969</v>
      </c>
      <c r="AA50" s="28" t="n">
        <v>227.44</v>
      </c>
      <c r="AB50" s="28" t="n">
        <v>220.0712387096774</v>
      </c>
    </row>
    <row r="51" ht="15" customHeight="1">
      <c r="B51" s="12" t="n">
        <v>2025</v>
      </c>
      <c r="C51" s="28" t="n">
        <v>112.1219277</v>
      </c>
      <c r="D51" s="28" t="n">
        <v>57.954395</v>
      </c>
      <c r="E51" s="28" t="n">
        <v>63.4680822</v>
      </c>
      <c r="F51" s="28" t="n">
        <v>53.9780053</v>
      </c>
      <c r="G51" s="28" t="n">
        <v>82.2545113</v>
      </c>
      <c r="H51" s="28" t="n">
        <v>130.4109183</v>
      </c>
      <c r="I51" s="28" t="n">
        <v>130.6755352</v>
      </c>
      <c r="J51" s="28" t="n">
        <v>144.1104312</v>
      </c>
      <c r="K51" s="28" t="n">
        <v>186.0461335</v>
      </c>
      <c r="L51" s="28" t="n">
        <v>192.9467781</v>
      </c>
      <c r="M51" s="28" t="n">
        <v>172.1145835</v>
      </c>
      <c r="N51" s="28" t="n">
        <v>195.3169343</v>
      </c>
      <c r="O51" s="31">
        <f>SUM(C51:N51)</f>
        <v/>
      </c>
      <c r="P51" s="3" t="n"/>
      <c r="Q51" s="28" t="n">
        <v>174.4852064516129</v>
      </c>
      <c r="R51" s="28" t="n">
        <v>101.86</v>
      </c>
      <c r="S51" s="28" t="n">
        <v>105.4341387096774</v>
      </c>
      <c r="T51" s="28" t="n">
        <v>95.85138666666667</v>
      </c>
      <c r="U51" s="28" t="n">
        <v>140.3</v>
      </c>
      <c r="V51" s="28" t="n">
        <v>223.4013966666666</v>
      </c>
      <c r="W51" s="28" t="n">
        <v>216.4099419354839</v>
      </c>
      <c r="X51" s="28" t="n">
        <v>236.0685612903225</v>
      </c>
      <c r="Y51" s="28" t="n">
        <v>363.0499966666667</v>
      </c>
      <c r="Z51" s="28" t="n">
        <v>389.4207</v>
      </c>
      <c r="AA51" s="28" t="n">
        <v>987.0027733333333</v>
      </c>
      <c r="AB51" s="28" t="n">
        <v>436.7002741935484</v>
      </c>
    </row>
    <row r="52" ht="15" customHeight="1">
      <c r="B52" s="1" t="n">
        <v>2026</v>
      </c>
      <c r="C52" s="28" t="n">
        <v>103.2491049</v>
      </c>
      <c r="D52" s="28" t="n">
        <v>57.5689625</v>
      </c>
      <c r="E52" s="28" t="n">
        <v>59.9927194</v>
      </c>
      <c r="F52" s="28" t="n">
        <v>44.5033636</v>
      </c>
      <c r="G52" s="28" t="n">
        <v>47.318828</v>
      </c>
      <c r="H52" s="28" t="n">
        <v>64.1553344</v>
      </c>
      <c r="I52" s="28" t="n">
        <v>57.3107204</v>
      </c>
      <c r="J52" s="28" t="n">
        <v>78.3619765</v>
      </c>
      <c r="K52" s="28" t="n">
        <v>159.874</v>
      </c>
      <c r="L52" s="28" t="n">
        <v>83.58279940000001</v>
      </c>
      <c r="M52" s="28" t="n"/>
      <c r="N52" s="28" t="n"/>
      <c r="O52" s="31" t="n"/>
      <c r="P52" s="3" t="n"/>
      <c r="Q52" s="28" t="n">
        <v>172.51</v>
      </c>
      <c r="R52" s="28" t="n">
        <v>111.5</v>
      </c>
      <c r="S52" s="28" t="n">
        <v>107.23</v>
      </c>
      <c r="T52" s="28" t="n">
        <v>88.75</v>
      </c>
      <c r="U52" s="28" t="n">
        <v>89.31</v>
      </c>
      <c r="V52" s="28" t="n">
        <v>117.74</v>
      </c>
      <c r="W52" s="28" t="n">
        <v>104.15</v>
      </c>
      <c r="X52" s="28" t="n">
        <v>135.83</v>
      </c>
      <c r="Y52" s="28" t="n">
        <v>272.6</v>
      </c>
      <c r="Z52" s="28" t="n">
        <v>332.23</v>
      </c>
    </row>
    <row r="53" ht="15" customHeight="1">
      <c r="B53" s="12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31" t="n"/>
      <c r="P53" s="3" t="n"/>
    </row>
    <row r="54" ht="15" customHeight="1">
      <c r="B54" s="12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31" t="n"/>
      <c r="P54" s="3" t="n"/>
    </row>
    <row r="55" ht="15" customHeight="1">
      <c r="B55" s="24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3" t="n"/>
      <c r="P55" s="3" t="n"/>
    </row>
    <row r="56" ht="15" customHeight="1"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33" t="n"/>
    </row>
    <row r="58" ht="15" customHeight="1">
      <c r="B58" s="25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28" t="n"/>
      <c r="P58" s="3" t="n"/>
    </row>
    <row r="59"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</row>
    <row r="60"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" t="n"/>
    </row>
    <row r="61">
      <c r="O61" s="35" t="n"/>
    </row>
    <row r="62">
      <c r="O62" s="35" t="n"/>
    </row>
    <row r="63">
      <c r="O63" s="36" t="n"/>
    </row>
    <row r="68" ht="15.75" customHeight="1">
      <c r="N68" s="37" t="n"/>
      <c r="O68" s="37" t="n"/>
    </row>
    <row r="69" ht="15.75" customHeight="1">
      <c r="N69" s="38" t="n"/>
      <c r="O69" s="37" t="n"/>
      <c r="P69" s="36" t="n"/>
    </row>
    <row r="70" ht="15.75" customHeight="1">
      <c r="N70" s="39" t="n"/>
      <c r="O70" s="37" t="n"/>
      <c r="P70" s="36" t="n"/>
    </row>
    <row r="71" ht="15.75" customHeight="1">
      <c r="N71" s="40" t="n"/>
      <c r="O71" s="37" t="n"/>
      <c r="P71" s="36" t="n"/>
    </row>
  </sheetData>
  <mergeCells count="3">
    <mergeCell ref="B55:B56"/>
    <mergeCell ref="Q1:AB1"/>
    <mergeCell ref="B58:B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 Ky Hai</dc:creator>
  <dcterms:created xsi:type="dcterms:W3CDTF">2026-07-10T01:55:16Z</dcterms:created>
  <dcterms:modified xsi:type="dcterms:W3CDTF">2026-10-14T04:15:36Z</dcterms:modified>
  <cp:lastModifiedBy>Le Xuan Anh Minh</cp:lastModifiedBy>
</cp:coreProperties>
</file>
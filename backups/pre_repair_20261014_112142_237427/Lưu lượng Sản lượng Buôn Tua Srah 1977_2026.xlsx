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280" tabRatio="600" firstSheet="0" activeTab="0" autoFilterDateGrouping="1"/>
  </bookViews>
  <sheets>
    <sheet name="BTS" sheetId="1" state="visible" r:id="rId1"/>
    <sheet name="Sheet1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FF0000"/>
      <sz val="11"/>
      <scheme val="minor"/>
    </font>
    <font>
      <name val="Arial"/>
      <family val="2"/>
      <color rgb="FF000099"/>
      <sz val="11"/>
      <scheme val="minor"/>
    </font>
    <font>
      <name val="Arial"/>
      <family val="2"/>
      <b val="1"/>
      <sz val="11"/>
      <scheme val="minor"/>
    </font>
    <font>
      <name val="Arial"/>
      <family val="2"/>
      <b val="1"/>
      <color rgb="FF000099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41">
    <xf numFmtId="0" fontId="0" fillId="0" borderId="0" pivotButton="0" quotePrefix="0" xfId="0"/>
    <xf numFmtId="1" fontId="3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0" fillId="0" borderId="0" pivotButton="0" quotePrefix="1" xfId="0"/>
    <xf numFmtId="164" fontId="5" fillId="0" borderId="0" pivotButton="0" quotePrefix="0" xfId="0"/>
    <xf numFmtId="164" fontId="5" fillId="0" borderId="0" applyAlignment="1" pivotButton="0" quotePrefix="0" xfId="0">
      <alignment horizontal="right"/>
    </xf>
    <xf numFmtId="2" fontId="0" fillId="0" borderId="0" pivotButton="0" quotePrefix="0" xfId="0"/>
    <xf numFmtId="164" fontId="0" fillId="0" borderId="0" pivotButton="0" quotePrefix="0" xfId="0"/>
    <xf numFmtId="0" fontId="3" fillId="0" borderId="1" pivotButton="0" quotePrefix="0" xfId="0"/>
    <xf numFmtId="164" fontId="0" fillId="0" borderId="2" pivotButton="0" quotePrefix="0" xfId="0"/>
    <xf numFmtId="164" fontId="0" fillId="0" borderId="3" applyAlignment="1" pivotButton="0" quotePrefix="0" xfId="1">
      <alignment horizontal="right"/>
    </xf>
    <xf numFmtId="0" fontId="3" fillId="0" borderId="4" pivotButton="0" quotePrefix="0" xfId="0"/>
    <xf numFmtId="164" fontId="0" fillId="0" borderId="5" pivotButton="0" quotePrefix="0" xfId="1"/>
    <xf numFmtId="0" fontId="3" fillId="0" borderId="6" pivotButton="0" quotePrefix="0" xfId="0"/>
    <xf numFmtId="164" fontId="0" fillId="0" borderId="7" pivotButton="0" quotePrefix="0" xfId="0"/>
    <xf numFmtId="164" fontId="0" fillId="0" borderId="8" pivotButton="0" quotePrefix="0" xfId="1"/>
    <xf numFmtId="0" fontId="6" fillId="0" borderId="0" pivotButton="0" quotePrefix="0" xfId="0"/>
    <xf numFmtId="164" fontId="0" fillId="0" borderId="0" pivotButton="0" quotePrefix="0" xfId="1"/>
    <xf numFmtId="0" fontId="4" fillId="0" borderId="0" pivotButton="0" quotePrefix="0" xfId="0"/>
    <xf numFmtId="164" fontId="7" fillId="0" borderId="0" pivotButton="0" quotePrefix="0" xfId="0"/>
    <xf numFmtId="164" fontId="7" fillId="0" borderId="0" pivotButton="0" quotePrefix="0" xfId="1"/>
    <xf numFmtId="164" fontId="2" fillId="0" borderId="0" pivotButton="0" quotePrefix="0" xfId="0"/>
    <xf numFmtId="164" fontId="7" fillId="0" borderId="0" pivotButton="0" quotePrefix="0" xfId="1"/>
    <xf numFmtId="0" fontId="4" fillId="0" borderId="0" applyAlignment="1" pivotButton="0" quotePrefix="0" xfId="0">
      <alignment horizontal="center"/>
    </xf>
    <xf numFmtId="0" fontId="4" fillId="0" borderId="0" applyAlignment="1" pivotButton="0" quotePrefix="1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164" fontId="5" fillId="0" borderId="0" pivotButton="0" quotePrefix="0" xfId="0"/>
    <xf numFmtId="164" fontId="5" fillId="0" borderId="0" applyAlignment="1" pivotButton="0" quotePrefix="0" xfId="0">
      <alignment horizontal="right"/>
    </xf>
    <xf numFmtId="164" fontId="0" fillId="0" borderId="0" pivotButton="0" quotePrefix="0" xfId="0"/>
    <xf numFmtId="164" fontId="0" fillId="0" borderId="2" pivotButton="0" quotePrefix="0" xfId="0"/>
    <xf numFmtId="164" fontId="0" fillId="0" borderId="3" applyAlignment="1" pivotButton="0" quotePrefix="0" xfId="1">
      <alignment horizontal="right"/>
    </xf>
    <xf numFmtId="164" fontId="0" fillId="0" borderId="5" pivotButton="0" quotePrefix="0" xfId="1"/>
    <xf numFmtId="164" fontId="0" fillId="0" borderId="7" pivotButton="0" quotePrefix="0" xfId="0"/>
    <xf numFmtId="164" fontId="0" fillId="0" borderId="8" pivotButton="0" quotePrefix="0" xfId="1"/>
    <xf numFmtId="164" fontId="0" fillId="0" borderId="0" pivotButton="0" quotePrefix="0" xfId="1"/>
    <xf numFmtId="164" fontId="7" fillId="0" borderId="0" pivotButton="0" quotePrefix="0" xfId="0"/>
    <xf numFmtId="164" fontId="7" fillId="0" borderId="0" pivotButton="0" quotePrefix="0" xfId="1"/>
    <xf numFmtId="164" fontId="2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BTS"/>
      <sheetName val="SP3"/>
      <sheetName val="BK"/>
      <sheetName val="Gộp"/>
      <sheetName val="Sheet1"/>
      <sheetName val="Sheet2"/>
    </sheetNames>
    <sheetDataSet>
      <sheetData sheetId="0">
        <row r="3">
          <cell r="C3">
            <v>20.360220000000009</v>
          </cell>
          <cell r="D3">
            <v>13.233499999999999</v>
          </cell>
          <cell r="E3">
            <v>32.383919999999989</v>
          </cell>
          <cell r="F3">
            <v>22.10473</v>
          </cell>
          <cell r="G3">
            <v>13.201589999999999</v>
          </cell>
          <cell r="H3">
            <v>23.40821</v>
          </cell>
          <cell r="I3">
            <v>26.187750000000001</v>
          </cell>
          <cell r="J3">
            <v>32.645659999999999</v>
          </cell>
          <cell r="K3">
            <v>24.484770000000001</v>
          </cell>
          <cell r="L3">
            <v>57.841043999999997</v>
          </cell>
          <cell r="M3">
            <v>40.546990000000001</v>
          </cell>
          <cell r="N3">
            <v>35.038040000000002</v>
          </cell>
        </row>
      </sheetData>
      <sheetData sheetId="1">
        <row r="3">
          <cell r="C3">
            <v>17.593199999999996</v>
          </cell>
          <cell r="D3">
            <v>24.945170000000036</v>
          </cell>
          <cell r="E3">
            <v>30.776419999999984</v>
          </cell>
          <cell r="F3">
            <v>18.331620000000012</v>
          </cell>
          <cell r="G3">
            <v>32.240810000000003</v>
          </cell>
          <cell r="H3">
            <v>18.239860000000004</v>
          </cell>
          <cell r="I3">
            <v>23.386310000000002</v>
          </cell>
          <cell r="J3">
            <v>24.5884</v>
          </cell>
          <cell r="K3">
            <v>20.333479999999973</v>
          </cell>
          <cell r="L3">
            <v>61.827579999999998</v>
          </cell>
          <cell r="M3">
            <v>45.540440000000011</v>
          </cell>
          <cell r="N3">
            <v>26.213860000000061</v>
          </cell>
        </row>
      </sheetData>
      <sheetData sheetId="2">
        <row r="3">
          <cell r="C3">
            <v>14.871199999999954</v>
          </cell>
          <cell r="D3">
            <v>12.562000000000058</v>
          </cell>
          <cell r="E3">
            <v>19.831499999999998</v>
          </cell>
          <cell r="F3">
            <v>15.300799999999988</v>
          </cell>
          <cell r="G3">
            <v>14.842599999999917</v>
          </cell>
          <cell r="H3">
            <v>25.203587000000027</v>
          </cell>
          <cell r="I3">
            <v>28.08679999999999</v>
          </cell>
          <cell r="J3">
            <v>28.797600000000035</v>
          </cell>
          <cell r="K3">
            <v>27.668199999999956</v>
          </cell>
          <cell r="L3">
            <v>52.665999999999997</v>
          </cell>
          <cell r="M3">
            <v>29.38620000000007</v>
          </cell>
          <cell r="N3">
            <v>23.657800000000044</v>
          </cell>
        </row>
      </sheetData>
      <sheetData sheetId="3">
        <row r="3">
          <cell r="C3">
            <v>25.792999999999999</v>
          </cell>
          <cell r="D3">
            <v>25.095699999999955</v>
          </cell>
          <cell r="E3">
            <v>29.489099999999979</v>
          </cell>
          <cell r="F3">
            <v>14.045010000000008</v>
          </cell>
          <cell r="G3">
            <v>10.383187</v>
          </cell>
          <cell r="H3">
            <v>19.245000000000001</v>
          </cell>
          <cell r="I3">
            <v>42.027600000000092</v>
          </cell>
          <cell r="J3">
            <v>38.610900000000022</v>
          </cell>
          <cell r="K3">
            <v>32.21689999999991</v>
          </cell>
          <cell r="L3">
            <v>50.42570000000007</v>
          </cell>
          <cell r="M3">
            <v>17.23429999999993</v>
          </cell>
          <cell r="N3">
            <v>17.038914999999978</v>
          </cell>
        </row>
      </sheetData>
      <sheetData sheetId="4">
        <row r="3">
          <cell r="C3">
            <v>19.655700000000071</v>
          </cell>
          <cell r="D3">
            <v>16.195399999999907</v>
          </cell>
          <cell r="E3">
            <v>21.992599999999978</v>
          </cell>
          <cell r="F3">
            <v>19.548800000000163</v>
          </cell>
          <cell r="G3">
            <v>14.585599999999861</v>
          </cell>
          <cell r="H3">
            <v>16.866854000000092</v>
          </cell>
          <cell r="I3">
            <v>30.453499999999998</v>
          </cell>
          <cell r="J3">
            <v>23.635599999999979</v>
          </cell>
          <cell r="K3">
            <v>10.946999999999999</v>
          </cell>
          <cell r="L3">
            <v>5.6862000000000696</v>
          </cell>
          <cell r="M3">
            <v>6.8305999999999765</v>
          </cell>
          <cell r="N3">
            <v>11.53079999999993</v>
          </cell>
        </row>
      </sheetData>
      <sheetData sheetId="5">
        <row r="3">
          <cell r="C3">
            <v>20.582000000000001</v>
          </cell>
          <cell r="D3">
            <v>14.816299999999929</v>
          </cell>
          <cell r="E3">
            <v>17.285700000000066</v>
          </cell>
          <cell r="F3">
            <v>16.085000000000001</v>
          </cell>
          <cell r="G3">
            <v>14.919699999999953</v>
          </cell>
          <cell r="H3">
            <v>13.799793000000115</v>
          </cell>
          <cell r="I3">
            <v>24.193314999999945</v>
          </cell>
          <cell r="J3">
            <v>24.424043999999991</v>
          </cell>
          <cell r="K3">
            <v>11.858167000000014</v>
          </cell>
          <cell r="L3">
            <v>39.069295000000047</v>
          </cell>
          <cell r="M3">
            <v>50.507664999999918</v>
          </cell>
          <cell r="N3">
            <v>46.910890000000137</v>
          </cell>
        </row>
      </sheetData>
      <sheetData sheetId="6">
        <row r="3">
          <cell r="C3">
            <v>31.364885999999821</v>
          </cell>
          <cell r="D3">
            <v>21.604490000000109</v>
          </cell>
          <cell r="E3">
            <v>24.754403000000053</v>
          </cell>
          <cell r="F3">
            <v>30.05861999999988</v>
          </cell>
          <cell r="G3">
            <v>35.617789999999928</v>
          </cell>
          <cell r="H3">
            <v>49.377231000000151</v>
          </cell>
          <cell r="I3">
            <v>26.841631999999986</v>
          </cell>
          <cell r="J3">
            <v>41.75631599999987</v>
          </cell>
          <cell r="K3">
            <v>61.071907000000117</v>
          </cell>
          <cell r="L3">
            <v>55.999551999999909</v>
          </cell>
          <cell r="M3">
            <v>54.194130000000122</v>
          </cell>
          <cell r="N3">
            <v>41.483336999999821</v>
          </cell>
        </row>
      </sheetData>
      <sheetData sheetId="7">
        <row r="3">
          <cell r="C3">
            <v>29.766293000000065</v>
          </cell>
          <cell r="D3">
            <v>25.200817000000271</v>
          </cell>
          <cell r="E3">
            <v>30.107095999999903</v>
          </cell>
          <cell r="F3">
            <v>24.195173</v>
          </cell>
          <cell r="G3">
            <v>15.153889999999665</v>
          </cell>
          <cell r="H3">
            <v>20.327558000000217</v>
          </cell>
          <cell r="I3">
            <v>30.515135000000242</v>
          </cell>
          <cell r="J3">
            <v>39.907780000000031</v>
          </cell>
          <cell r="K3">
            <v>53.387756999999745</v>
          </cell>
          <cell r="L3">
            <v>57.173652000000239</v>
          </cell>
          <cell r="M3">
            <v>24.243526999999769</v>
          </cell>
          <cell r="N3">
            <v>27.942357999999999</v>
          </cell>
        </row>
      </sheetData>
      <sheetData sheetId="8">
        <row r="3">
          <cell r="C3">
            <v>22.552581999999937</v>
          </cell>
          <cell r="D3">
            <v>20.843499000000065</v>
          </cell>
          <cell r="E3">
            <v>29.454128999999956</v>
          </cell>
          <cell r="F3">
            <v>20.305261000000172</v>
          </cell>
          <cell r="G3">
            <v>13.686037000000011</v>
          </cell>
          <cell r="H3">
            <v>10.809938999999796</v>
          </cell>
          <cell r="I3">
            <v>12.072376000000164</v>
          </cell>
          <cell r="J3">
            <v>35.882240999999922</v>
          </cell>
          <cell r="K3">
            <v>30.512249000000068</v>
          </cell>
          <cell r="L3">
            <v>41.633333999999998</v>
          </cell>
          <cell r="M3">
            <v>47.532623000000001</v>
          </cell>
          <cell r="N3">
            <v>24.291547999999953</v>
          </cell>
        </row>
      </sheetData>
      <sheetData sheetId="9">
        <row r="3">
          <cell r="C3">
            <v>24.566246999999972</v>
          </cell>
          <cell r="D3">
            <v>22.680795000000156</v>
          </cell>
          <cell r="E3">
            <v>25.492474999999857</v>
          </cell>
          <cell r="F3">
            <v>14.732552000000142</v>
          </cell>
          <cell r="G3">
            <v>13.924613000000001</v>
          </cell>
          <cell r="H3">
            <v>10.573797000000253</v>
          </cell>
          <cell r="I3">
            <v>21.065653000000001</v>
          </cell>
          <cell r="J3">
            <v>36.94277800000016</v>
          </cell>
          <cell r="K3">
            <v>37.933302999999839</v>
          </cell>
          <cell r="L3">
            <v>22.716196000000231</v>
          </cell>
          <cell r="M3">
            <v>46.793722000000066</v>
          </cell>
          <cell r="N3">
            <v>43.477064999999939</v>
          </cell>
        </row>
      </sheetData>
      <sheetData sheetId="10">
        <row r="3">
          <cell r="C3">
            <v>29.164321999999927</v>
          </cell>
          <cell r="D3">
            <v>26.659041999999904</v>
          </cell>
          <cell r="E3">
            <v>29.322748000000139</v>
          </cell>
          <cell r="F3">
            <v>17.608156999999888</v>
          </cell>
          <cell r="G3">
            <v>14.82469700000016</v>
          </cell>
          <cell r="H3">
            <v>11.728076999999816</v>
          </cell>
          <cell r="I3">
            <v>19.794796000000261</v>
          </cell>
          <cell r="J3">
            <v>20.40146099999966</v>
          </cell>
          <cell r="K3">
            <v>26.350116000000156</v>
          </cell>
          <cell r="L3">
            <v>44.472706000000002</v>
          </cell>
          <cell r="M3">
            <v>56.895757999999908</v>
          </cell>
          <cell r="N3">
            <v>42.598993999999948</v>
          </cell>
        </row>
      </sheetData>
      <sheetData sheetId="11">
        <row r="3">
          <cell r="C3">
            <v>33.846495199999993</v>
          </cell>
          <cell r="D3">
            <v>26.111034599999996</v>
          </cell>
          <cell r="E3">
            <v>29.464168099999998</v>
          </cell>
          <cell r="F3">
            <v>23.123994499999998</v>
          </cell>
          <cell r="G3">
            <v>24.264119900000001</v>
          </cell>
          <cell r="H3">
            <v>19.669999300000001</v>
          </cell>
          <cell r="I3">
            <v>33.584182800000008</v>
          </cell>
          <cell r="J3">
            <v>33.5064724</v>
          </cell>
          <cell r="K3">
            <v>49.386004699999994</v>
          </cell>
          <cell r="L3">
            <v>50.809693500000002</v>
          </cell>
          <cell r="M3">
            <v>38.933323999999999</v>
          </cell>
          <cell r="N3">
            <v>26.922136399999999</v>
          </cell>
        </row>
      </sheetData>
      <sheetData sheetId="12">
        <row r="3">
          <cell r="C3">
            <v>26.196023199999999</v>
          </cell>
          <cell r="D3">
            <v>28.2093384</v>
          </cell>
          <cell r="E3">
            <v>28.871705800000001</v>
          </cell>
          <cell r="F3">
            <v>23.975395199999998</v>
          </cell>
          <cell r="G3">
            <v>7.3071524999999999</v>
          </cell>
          <cell r="H3">
            <v>18.939633699999998</v>
          </cell>
          <cell r="I3">
            <v>27.245995299999997</v>
          </cell>
          <cell r="J3">
            <v>42.153500099999995</v>
          </cell>
          <cell r="K3">
            <v>60.6046391</v>
          </cell>
          <cell r="L3">
            <v>53.143639999999998</v>
          </cell>
          <cell r="M3">
            <v>42.165509899999996</v>
          </cell>
          <cell r="N3">
            <v>31.564488900000001</v>
          </cell>
        </row>
      </sheetData>
      <sheetData sheetId="13">
        <row r="3">
          <cell r="C3">
            <v>27.937671999999999</v>
          </cell>
          <cell r="D3">
            <v>20.617661599999998</v>
          </cell>
          <cell r="E3">
            <v>18.585530500000001</v>
          </cell>
          <cell r="F3">
            <v>17.219771600000001</v>
          </cell>
          <cell r="G3">
            <v>15.0814433</v>
          </cell>
          <cell r="H3">
            <v>23.646055400000002</v>
          </cell>
          <cell r="I3">
            <v>25.2517505</v>
          </cell>
          <cell r="J3">
            <v>41.779785799999999</v>
          </cell>
          <cell r="K3">
            <v>44.453589399999998</v>
          </cell>
          <cell r="L3">
            <v>55.450868700000001</v>
          </cell>
          <cell r="M3">
            <v>34.919919800000002</v>
          </cell>
          <cell r="N3">
            <v>19.430500599999998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1"/>
  <sheetViews>
    <sheetView tabSelected="1" workbookViewId="0">
      <pane xSplit="2" ySplit="2" topLeftCell="O48" activePane="bottomRight" state="frozen"/>
      <selection pane="topRight" activeCell="C1" sqref="C1"/>
      <selection pane="bottomLeft" activeCell="A3" sqref="A3"/>
      <selection pane="bottomRight" activeCell="Z53" sqref="Z53"/>
    </sheetView>
  </sheetViews>
  <sheetFormatPr baseColWidth="8" defaultRowHeight="14.25"/>
  <cols>
    <col width="9.625" bestFit="1" customWidth="1" min="3" max="3"/>
  </cols>
  <sheetData>
    <row r="1" ht="15" customHeight="1">
      <c r="C1" s="24" t="inlineStr">
        <is>
          <t>Sản lượng [tr.kwh]</t>
        </is>
      </c>
      <c r="Q1" s="25" t="inlineStr">
        <is>
          <t>Lưu lượng [m3/s]</t>
        </is>
      </c>
    </row>
    <row r="2" ht="15" customHeight="1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M2" s="1" t="n">
        <v>11</v>
      </c>
      <c r="N2" s="1" t="n">
        <v>12</v>
      </c>
      <c r="O2" s="2" t="inlineStr">
        <is>
          <t>Tổng</t>
        </is>
      </c>
      <c r="Q2" s="3" t="n">
        <v>1</v>
      </c>
      <c r="R2" s="3" t="n">
        <v>2</v>
      </c>
      <c r="S2" s="3" t="n">
        <v>3</v>
      </c>
      <c r="T2" s="3" t="n">
        <v>4</v>
      </c>
      <c r="U2" s="3" t="n">
        <v>5</v>
      </c>
      <c r="V2" s="3" t="n">
        <v>6</v>
      </c>
      <c r="W2" s="3" t="n">
        <v>7</v>
      </c>
      <c r="X2" s="3" t="n">
        <v>8</v>
      </c>
      <c r="Y2" s="3" t="n">
        <v>9</v>
      </c>
      <c r="Z2" s="3" t="n">
        <v>10</v>
      </c>
      <c r="AA2" s="3" t="n">
        <v>11</v>
      </c>
      <c r="AB2" s="3" t="n">
        <v>12</v>
      </c>
      <c r="AD2" t="inlineStr">
        <is>
          <t>SHN</t>
        </is>
      </c>
      <c r="AE2" s="3" t="n">
        <v>8.880000000000001</v>
      </c>
      <c r="AF2" s="4" t="inlineStr">
        <is>
          <t>m3/khw</t>
        </is>
      </c>
    </row>
    <row r="3">
      <c r="B3" t="n">
        <v>1977</v>
      </c>
      <c r="C3" s="29">
        <f>IF(Q3*DAY(EOMONTH(DATE($B3,$C$2,1),0))*24*3600/$AE$2/10^6&gt;$AE$3,$AE$3,Q3*DAY(EOMONTH(DATE($B3,$C$2,1),0))*24*3600/$AE$2/10^6)</f>
        <v/>
      </c>
      <c r="D3" s="29">
        <f>IF(R3*DAY(EOMONTH(DATE($B3,$D$2,1),0))*24*3600/$AE$2/10^6&gt;$AE$3,$AE$3,R3*DAY(EOMONTH(DATE($B3,$D$2,1),0))*24*3600/$AE$2/10^6)</f>
        <v/>
      </c>
      <c r="E3" s="29">
        <f>IF(S3*DAY(EOMONTH(DATE($B3,$E$2,1),0))*24*3600/$AE$2/10^6&gt;$AE$3,$AE$3,S3*DAY(EOMONTH(DATE($B3,$E$2,1),0))*24*3600/$AE$2/10^6)</f>
        <v/>
      </c>
      <c r="F3" s="29">
        <f>IF(T3*DAY(EOMONTH(DATE($B3,$F$2,1),0))*24*3600/$AE$2/10^6&gt;$AE$3,$AE$3,T3*DAY(EOMONTH(DATE($B3,$F$2,1),0))*24*3600/$AE$2/10^6)</f>
        <v/>
      </c>
      <c r="G3" s="29">
        <f>IF(U3*DAY(EOMONTH(DATE($B3,$G$2,1),0))*24*3600/$AE$2/10^6&gt;$AE$3,$AE$3,U3*DAY(EOMONTH(DATE($B3,$G$2,1),0))*24*3600/$AE$2/10^6)</f>
        <v/>
      </c>
      <c r="H3" s="29">
        <f>IF(V3*DAY(EOMONTH(DATE($B3,$H$2,1),0))*24*3600/$AE$2/10^6&gt;$AE$3,$AE$3,V3*DAY(EOMONTH(DATE($B3,$H$2,1),0))*24*3600/$AE$2/10^6)</f>
        <v/>
      </c>
      <c r="I3" s="29">
        <f>IF(W3*DAY(EOMONTH(DATE($B3,$I$2,1),0))*24*3600/$AE$2/10^6&gt;$AE$3,$AE$3,W3*DAY(EOMONTH(DATE($B3,$I$2,1),0))*24*3600/$AE$2/10^6)</f>
        <v/>
      </c>
      <c r="J3" s="29">
        <f>IF(X3*DAY(EOMONTH(DATE($B3,$J$2,1),0))*24*3600/$AE$2/10^6&gt;$AE$3,$AE$3,X3*DAY(EOMONTH(DATE($B3,$J$2,1),0))*24*3600/$AE$2/10^6)</f>
        <v/>
      </c>
      <c r="K3" s="29">
        <f>IF(Y3*DAY(EOMONTH(DATE($B3,$K$2,1),0))*24*3600/$AE$2/10^6&gt;$AE$3,$AE$3,Y3*DAY(EOMONTH(DATE($B3,$K$2,1),0))*24*3600/$AE$2/10^6)</f>
        <v/>
      </c>
      <c r="L3" s="29">
        <f>IF(Z3*DAY(EOMONTH(DATE($B3,$L$2,1),0))*24*3600/$AE$2/10^6&gt;$AE$3,$AE$3,Z3*DAY(EOMONTH(DATE($B3,$L$2,1),0))*24*3600/$AE$2/10^6)</f>
        <v/>
      </c>
      <c r="M3" s="29">
        <f>IF(AA3*DAY(EOMONTH(DATE($B3,$M$2,1),0))*24*3600/$AE$2/10^6&gt;$AE$3,$AE$3,AA3*DAY(EOMONTH(DATE($B3,$M$2,1),0))*24*3600/$AE$2/10^6)</f>
        <v/>
      </c>
      <c r="N3" s="29">
        <f>IF(AB3*DAY(EOMONTH(DATE($B3,$N$2,1),0))*24*3600/$AE$2/10^6&gt;$AE$3,$AE$3,AB3*DAY(EOMONTH(DATE($B3,$N$2,1),0))*24*3600/$AE$2/10^6)</f>
        <v/>
      </c>
      <c r="O3" s="30">
        <f>SUM(C3:N3)</f>
        <v/>
      </c>
      <c r="Q3" t="n">
        <v>38.6</v>
      </c>
      <c r="R3" t="n">
        <v>26.9</v>
      </c>
      <c r="S3" t="n">
        <v>18.2</v>
      </c>
      <c r="T3" t="n">
        <v>12.5</v>
      </c>
      <c r="U3" t="n">
        <v>17.3</v>
      </c>
      <c r="V3" t="n">
        <v>14.4</v>
      </c>
      <c r="W3" t="n">
        <v>49</v>
      </c>
      <c r="X3" t="n">
        <v>49.5</v>
      </c>
      <c r="Y3" t="n">
        <v>166</v>
      </c>
      <c r="Z3" t="n">
        <v>154</v>
      </c>
      <c r="AA3" t="n">
        <v>88.2</v>
      </c>
      <c r="AB3" t="n">
        <v>44</v>
      </c>
      <c r="AD3" t="inlineStr">
        <is>
          <t>A_max</t>
        </is>
      </c>
      <c r="AE3" t="n">
        <v>61.07</v>
      </c>
      <c r="AF3" s="4" t="inlineStr">
        <is>
          <t>tr.kwh</t>
        </is>
      </c>
    </row>
    <row r="4">
      <c r="B4" t="n">
        <v>1978</v>
      </c>
      <c r="C4" s="29">
        <f>IF(Q4*DAY(EOMONTH(DATE($B4,$C$2,1),0))*24*3600/$AE$2/10^6&gt;$AE$3,$AE$3,Q4*DAY(EOMONTH(DATE($B4,$C$2,1),0))*24*3600/$AE$2/10^6)</f>
        <v/>
      </c>
      <c r="D4" s="29">
        <f>IF(R4*DAY(EOMONTH(DATE($B4,$D$2,1),0))*24*3600/$AE$2/10^6&gt;$AE$3,$AE$3,R4*DAY(EOMONTH(DATE($B4,$D$2,1),0))*24*3600/$AE$2/10^6)</f>
        <v/>
      </c>
      <c r="E4" s="29">
        <f>IF(S4*DAY(EOMONTH(DATE($B4,$E$2,1),0))*24*3600/$AE$2/10^6&gt;$AE$3,$AE$3,S4*DAY(EOMONTH(DATE($B4,$E$2,1),0))*24*3600/$AE$2/10^6)</f>
        <v/>
      </c>
      <c r="F4" s="29">
        <f>IF(T4*DAY(EOMONTH(DATE($B4,$F$2,1),0))*24*3600/$AE$2/10^6&gt;$AE$3,$AE$3,T4*DAY(EOMONTH(DATE($B4,$F$2,1),0))*24*3600/$AE$2/10^6)</f>
        <v/>
      </c>
      <c r="G4" s="29">
        <f>IF(U4*DAY(EOMONTH(DATE($B4,$G$2,1),0))*24*3600/$AE$2/10^6&gt;$AE$3,$AE$3,U4*DAY(EOMONTH(DATE($B4,$G$2,1),0))*24*3600/$AE$2/10^6)</f>
        <v/>
      </c>
      <c r="H4" s="29">
        <f>IF(V4*DAY(EOMONTH(DATE($B4,$H$2,1),0))*24*3600/$AE$2/10^6&gt;$AE$3,$AE$3,V4*DAY(EOMONTH(DATE($B4,$H$2,1),0))*24*3600/$AE$2/10^6)</f>
        <v/>
      </c>
      <c r="I4" s="29">
        <f>IF(W4*DAY(EOMONTH(DATE($B4,$I$2,1),0))*24*3600/$AE$2/10^6&gt;$AE$3,$AE$3,W4*DAY(EOMONTH(DATE($B4,$I$2,1),0))*24*3600/$AE$2/10^6)</f>
        <v/>
      </c>
      <c r="J4" s="29">
        <f>IF(X4*DAY(EOMONTH(DATE($B4,$J$2,1),0))*24*3600/$AE$2/10^6&gt;$AE$3,$AE$3,X4*DAY(EOMONTH(DATE($B4,$J$2,1),0))*24*3600/$AE$2/10^6)</f>
        <v/>
      </c>
      <c r="K4" s="29">
        <f>IF(Y4*DAY(EOMONTH(DATE($B4,$K$2,1),0))*24*3600/$AE$2/10^6&gt;$AE$3,$AE$3,Y4*DAY(EOMONTH(DATE($B4,$K$2,1),0))*24*3600/$AE$2/10^6)</f>
        <v/>
      </c>
      <c r="L4" s="29">
        <f>IF(Z4*DAY(EOMONTH(DATE($B4,$L$2,1),0))*24*3600/$AE$2/10^6&gt;$AE$3,$AE$3,Z4*DAY(EOMONTH(DATE($B4,$L$2,1),0))*24*3600/$AE$2/10^6)</f>
        <v/>
      </c>
      <c r="M4" s="29">
        <f>IF(AA4*DAY(EOMONTH(DATE($B4,$M$2,1),0))*24*3600/$AE$2/10^6&gt;$AE$3,$AE$3,AA4*DAY(EOMONTH(DATE($B4,$M$2,1),0))*24*3600/$AE$2/10^6)</f>
        <v/>
      </c>
      <c r="N4" s="29">
        <f>IF(AB4*DAY(EOMONTH(DATE($B4,$N$2,1),0))*24*3600/$AE$2/10^6&gt;$AE$3,$AE$3,AB4*DAY(EOMONTH(DATE($B4,$N$2,1),0))*24*3600/$AE$2/10^6)</f>
        <v/>
      </c>
      <c r="O4" s="30">
        <f>SUM(C4:N4)</f>
        <v/>
      </c>
      <c r="Q4" t="n">
        <v>23</v>
      </c>
      <c r="R4" t="n">
        <v>16.2</v>
      </c>
      <c r="S4" t="n">
        <v>15.1</v>
      </c>
      <c r="T4" t="n">
        <v>14.7</v>
      </c>
      <c r="U4" t="n">
        <v>29.8</v>
      </c>
      <c r="V4" t="n">
        <v>31</v>
      </c>
      <c r="W4" t="n">
        <v>75.2</v>
      </c>
      <c r="X4" t="n">
        <v>196</v>
      </c>
      <c r="Y4" t="n">
        <v>225</v>
      </c>
      <c r="Z4" t="n">
        <v>275</v>
      </c>
      <c r="AA4" t="n">
        <v>145</v>
      </c>
      <c r="AB4" t="n">
        <v>62.6</v>
      </c>
    </row>
    <row r="5">
      <c r="B5" t="n">
        <v>1979</v>
      </c>
      <c r="C5" s="29">
        <f>IF(Q5*DAY(EOMONTH(DATE($B5,$C$2,1),0))*24*3600/$AE$2/10^6&gt;$AE$3,$AE$3,Q5*DAY(EOMONTH(DATE($B5,$C$2,1),0))*24*3600/$AE$2/10^6)</f>
        <v/>
      </c>
      <c r="D5" s="29">
        <f>IF(R5*DAY(EOMONTH(DATE($B5,$D$2,1),0))*24*3600/$AE$2/10^6&gt;$AE$3,$AE$3,R5*DAY(EOMONTH(DATE($B5,$D$2,1),0))*24*3600/$AE$2/10^6)</f>
        <v/>
      </c>
      <c r="E5" s="29">
        <f>IF(S5*DAY(EOMONTH(DATE($B5,$E$2,1),0))*24*3600/$AE$2/10^6&gt;$AE$3,$AE$3,S5*DAY(EOMONTH(DATE($B5,$E$2,1),0))*24*3600/$AE$2/10^6)</f>
        <v/>
      </c>
      <c r="F5" s="29">
        <f>IF(T5*DAY(EOMONTH(DATE($B5,$F$2,1),0))*24*3600/$AE$2/10^6&gt;$AE$3,$AE$3,T5*DAY(EOMONTH(DATE($B5,$F$2,1),0))*24*3600/$AE$2/10^6)</f>
        <v/>
      </c>
      <c r="G5" s="29">
        <f>IF(U5*DAY(EOMONTH(DATE($B5,$G$2,1),0))*24*3600/$AE$2/10^6&gt;$AE$3,$AE$3,U5*DAY(EOMONTH(DATE($B5,$G$2,1),0))*24*3600/$AE$2/10^6)</f>
        <v/>
      </c>
      <c r="H5" s="29">
        <f>IF(V5*DAY(EOMONTH(DATE($B5,$H$2,1),0))*24*3600/$AE$2/10^6&gt;$AE$3,$AE$3,V5*DAY(EOMONTH(DATE($B5,$H$2,1),0))*24*3600/$AE$2/10^6)</f>
        <v/>
      </c>
      <c r="I5" s="29">
        <f>IF(W5*DAY(EOMONTH(DATE($B5,$I$2,1),0))*24*3600/$AE$2/10^6&gt;$AE$3,$AE$3,W5*DAY(EOMONTH(DATE($B5,$I$2,1),0))*24*3600/$AE$2/10^6)</f>
        <v/>
      </c>
      <c r="J5" s="29">
        <f>IF(X5*DAY(EOMONTH(DATE($B5,$J$2,1),0))*24*3600/$AE$2/10^6&gt;$AE$3,$AE$3,X5*DAY(EOMONTH(DATE($B5,$J$2,1),0))*24*3600/$AE$2/10^6)</f>
        <v/>
      </c>
      <c r="K5" s="29">
        <f>IF(Y5*DAY(EOMONTH(DATE($B5,$K$2,1),0))*24*3600/$AE$2/10^6&gt;$AE$3,$AE$3,Y5*DAY(EOMONTH(DATE($B5,$K$2,1),0))*24*3600/$AE$2/10^6)</f>
        <v/>
      </c>
      <c r="L5" s="29">
        <f>IF(Z5*DAY(EOMONTH(DATE($B5,$L$2,1),0))*24*3600/$AE$2/10^6&gt;$AE$3,$AE$3,Z5*DAY(EOMONTH(DATE($B5,$L$2,1),0))*24*3600/$AE$2/10^6)</f>
        <v/>
      </c>
      <c r="M5" s="29">
        <f>IF(AA5*DAY(EOMONTH(DATE($B5,$M$2,1),0))*24*3600/$AE$2/10^6&gt;$AE$3,$AE$3,AA5*DAY(EOMONTH(DATE($B5,$M$2,1),0))*24*3600/$AE$2/10^6)</f>
        <v/>
      </c>
      <c r="N5" s="29">
        <f>IF(AB5*DAY(EOMONTH(DATE($B5,$N$2,1),0))*24*3600/$AE$2/10^6&gt;$AE$3,$AE$3,AB5*DAY(EOMONTH(DATE($B5,$N$2,1),0))*24*3600/$AE$2/10^6)</f>
        <v/>
      </c>
      <c r="O5" s="30">
        <f>SUM(C5:N5)</f>
        <v/>
      </c>
      <c r="Q5" t="n">
        <v>37</v>
      </c>
      <c r="R5" t="n">
        <v>26.9</v>
      </c>
      <c r="S5" t="n">
        <v>21.5</v>
      </c>
      <c r="T5" t="n">
        <v>25.8</v>
      </c>
      <c r="U5" t="n">
        <v>34.9</v>
      </c>
      <c r="V5" t="n">
        <v>88.40000000000001</v>
      </c>
      <c r="W5" t="n">
        <v>165</v>
      </c>
      <c r="X5" t="n">
        <v>244</v>
      </c>
      <c r="Y5" t="n">
        <v>129</v>
      </c>
      <c r="Z5" t="n">
        <v>209</v>
      </c>
      <c r="AA5" t="n">
        <v>150</v>
      </c>
      <c r="AB5" t="n">
        <v>81.2</v>
      </c>
    </row>
    <row r="6">
      <c r="A6" s="7" t="n"/>
      <c r="B6" t="n">
        <v>1980</v>
      </c>
      <c r="C6" s="29">
        <f>IF(Q6*DAY(EOMONTH(DATE($B6,$C$2,1),0))*24*3600/$AE$2/10^6&gt;$AE$3,$AE$3,Q6*DAY(EOMONTH(DATE($B6,$C$2,1),0))*24*3600/$AE$2/10^6)</f>
        <v/>
      </c>
      <c r="D6" s="29">
        <f>IF(R6*DAY(EOMONTH(DATE($B6,$D$2,1),0))*24*3600/$AE$2/10^6&gt;$AE$3,$AE$3,R6*DAY(EOMONTH(DATE($B6,$D$2,1),0))*24*3600/$AE$2/10^6)</f>
        <v/>
      </c>
      <c r="E6" s="29">
        <f>IF(S6*DAY(EOMONTH(DATE($B6,$E$2,1),0))*24*3600/$AE$2/10^6&gt;$AE$3,$AE$3,S6*DAY(EOMONTH(DATE($B6,$E$2,1),0))*24*3600/$AE$2/10^6)</f>
        <v/>
      </c>
      <c r="F6" s="29">
        <f>IF(T6*DAY(EOMONTH(DATE($B6,$F$2,1),0))*24*3600/$AE$2/10^6&gt;$AE$3,$AE$3,T6*DAY(EOMONTH(DATE($B6,$F$2,1),0))*24*3600/$AE$2/10^6)</f>
        <v/>
      </c>
      <c r="G6" s="29">
        <f>IF(U6*DAY(EOMONTH(DATE($B6,$G$2,1),0))*24*3600/$AE$2/10^6&gt;$AE$3,$AE$3,U6*DAY(EOMONTH(DATE($B6,$G$2,1),0))*24*3600/$AE$2/10^6)</f>
        <v/>
      </c>
      <c r="H6" s="29">
        <f>IF(V6*DAY(EOMONTH(DATE($B6,$H$2,1),0))*24*3600/$AE$2/10^6&gt;$AE$3,$AE$3,V6*DAY(EOMONTH(DATE($B6,$H$2,1),0))*24*3600/$AE$2/10^6)</f>
        <v/>
      </c>
      <c r="I6" s="29">
        <f>IF(W6*DAY(EOMONTH(DATE($B6,$I$2,1),0))*24*3600/$AE$2/10^6&gt;$AE$3,$AE$3,W6*DAY(EOMONTH(DATE($B6,$I$2,1),0))*24*3600/$AE$2/10^6)</f>
        <v/>
      </c>
      <c r="J6" s="29">
        <f>IF(X6*DAY(EOMONTH(DATE($B6,$J$2,1),0))*24*3600/$AE$2/10^6&gt;$AE$3,$AE$3,X6*DAY(EOMONTH(DATE($B6,$J$2,1),0))*24*3600/$AE$2/10^6)</f>
        <v/>
      </c>
      <c r="K6" s="29">
        <f>IF(Y6*DAY(EOMONTH(DATE($B6,$K$2,1),0))*24*3600/$AE$2/10^6&gt;$AE$3,$AE$3,Y6*DAY(EOMONTH(DATE($B6,$K$2,1),0))*24*3600/$AE$2/10^6)</f>
        <v/>
      </c>
      <c r="L6" s="29">
        <f>IF(Z6*DAY(EOMONTH(DATE($B6,$L$2,1),0))*24*3600/$AE$2/10^6&gt;$AE$3,$AE$3,Z6*DAY(EOMONTH(DATE($B6,$L$2,1),0))*24*3600/$AE$2/10^6)</f>
        <v/>
      </c>
      <c r="M6" s="29">
        <f>IF(AA6*DAY(EOMONTH(DATE($B6,$M$2,1),0))*24*3600/$AE$2/10^6&gt;$AE$3,$AE$3,AA6*DAY(EOMONTH(DATE($B6,$M$2,1),0))*24*3600/$AE$2/10^6)</f>
        <v/>
      </c>
      <c r="N6" s="29">
        <f>IF(AB6*DAY(EOMONTH(DATE($B6,$N$2,1),0))*24*3600/$AE$2/10^6&gt;$AE$3,$AE$3,AB6*DAY(EOMONTH(DATE($B6,$N$2,1),0))*24*3600/$AE$2/10^6)</f>
        <v/>
      </c>
      <c r="O6" s="30">
        <f>SUM(C6:N6)</f>
        <v/>
      </c>
      <c r="Q6" t="n">
        <v>57</v>
      </c>
      <c r="R6" t="n">
        <v>39.3</v>
      </c>
      <c r="S6" t="n">
        <v>28.3</v>
      </c>
      <c r="T6" t="n">
        <v>28.2</v>
      </c>
      <c r="U6" t="n">
        <v>47.3</v>
      </c>
      <c r="V6" t="n">
        <v>82.8</v>
      </c>
      <c r="W6" t="n">
        <v>84.7</v>
      </c>
      <c r="X6" t="n">
        <v>129</v>
      </c>
      <c r="Y6" t="n">
        <v>249</v>
      </c>
      <c r="Z6" t="n">
        <v>241</v>
      </c>
      <c r="AA6" t="n">
        <v>183</v>
      </c>
      <c r="AB6" t="n">
        <v>78.3</v>
      </c>
    </row>
    <row r="7">
      <c r="B7" t="n">
        <v>1981</v>
      </c>
      <c r="C7" s="29">
        <f>IF(Q7*DAY(EOMONTH(DATE($B7,$C$2,1),0))*24*3600/$AE$2/10^6&gt;$AE$3,$AE$3,Q7*DAY(EOMONTH(DATE($B7,$C$2,1),0))*24*3600/$AE$2/10^6)</f>
        <v/>
      </c>
      <c r="D7" s="29">
        <f>IF(R7*DAY(EOMONTH(DATE($B7,$D$2,1),0))*24*3600/$AE$2/10^6&gt;$AE$3,$AE$3,R7*DAY(EOMONTH(DATE($B7,$D$2,1),0))*24*3600/$AE$2/10^6)</f>
        <v/>
      </c>
      <c r="E7" s="29">
        <f>IF(S7*DAY(EOMONTH(DATE($B7,$E$2,1),0))*24*3600/$AE$2/10^6&gt;$AE$3,$AE$3,S7*DAY(EOMONTH(DATE($B7,$E$2,1),0))*24*3600/$AE$2/10^6)</f>
        <v/>
      </c>
      <c r="F7" s="29">
        <f>IF(T7*DAY(EOMONTH(DATE($B7,$F$2,1),0))*24*3600/$AE$2/10^6&gt;$AE$3,$AE$3,T7*DAY(EOMONTH(DATE($B7,$F$2,1),0))*24*3600/$AE$2/10^6)</f>
        <v/>
      </c>
      <c r="G7" s="29">
        <f>IF(U7*DAY(EOMONTH(DATE($B7,$G$2,1),0))*24*3600/$AE$2/10^6&gt;$AE$3,$AE$3,U7*DAY(EOMONTH(DATE($B7,$G$2,1),0))*24*3600/$AE$2/10^6)</f>
        <v/>
      </c>
      <c r="H7" s="29">
        <f>IF(V7*DAY(EOMONTH(DATE($B7,$H$2,1),0))*24*3600/$AE$2/10^6&gt;$AE$3,$AE$3,V7*DAY(EOMONTH(DATE($B7,$H$2,1),0))*24*3600/$AE$2/10^6)</f>
        <v/>
      </c>
      <c r="I7" s="29">
        <f>IF(W7*DAY(EOMONTH(DATE($B7,$I$2,1),0))*24*3600/$AE$2/10^6&gt;$AE$3,$AE$3,W7*DAY(EOMONTH(DATE($B7,$I$2,1),0))*24*3600/$AE$2/10^6)</f>
        <v/>
      </c>
      <c r="J7" s="29">
        <f>IF(X7*DAY(EOMONTH(DATE($B7,$J$2,1),0))*24*3600/$AE$2/10^6&gt;$AE$3,$AE$3,X7*DAY(EOMONTH(DATE($B7,$J$2,1),0))*24*3600/$AE$2/10^6)</f>
        <v/>
      </c>
      <c r="K7" s="29">
        <f>IF(Y7*DAY(EOMONTH(DATE($B7,$K$2,1),0))*24*3600/$AE$2/10^6&gt;$AE$3,$AE$3,Y7*DAY(EOMONTH(DATE($B7,$K$2,1),0))*24*3600/$AE$2/10^6)</f>
        <v/>
      </c>
      <c r="L7" s="29">
        <f>IF(Z7*DAY(EOMONTH(DATE($B7,$L$2,1),0))*24*3600/$AE$2/10^6&gt;$AE$3,$AE$3,Z7*DAY(EOMONTH(DATE($B7,$L$2,1),0))*24*3600/$AE$2/10^6)</f>
        <v/>
      </c>
      <c r="M7" s="29">
        <f>IF(AA7*DAY(EOMONTH(DATE($B7,$M$2,1),0))*24*3600/$AE$2/10^6&gt;$AE$3,$AE$3,AA7*DAY(EOMONTH(DATE($B7,$M$2,1),0))*24*3600/$AE$2/10^6)</f>
        <v/>
      </c>
      <c r="N7" s="29">
        <f>IF(AB7*DAY(EOMONTH(DATE($B7,$N$2,1),0))*24*3600/$AE$2/10^6&gt;$AE$3,$AE$3,AB7*DAY(EOMONTH(DATE($B7,$N$2,1),0))*24*3600/$AE$2/10^6)</f>
        <v/>
      </c>
      <c r="O7" s="30">
        <f>SUM(C7:N7)</f>
        <v/>
      </c>
      <c r="Q7" t="n">
        <v>47.2</v>
      </c>
      <c r="R7" t="n">
        <v>34</v>
      </c>
      <c r="S7" t="n">
        <v>25.5</v>
      </c>
      <c r="T7" t="n">
        <v>24.1</v>
      </c>
      <c r="U7" t="n">
        <v>34.6</v>
      </c>
      <c r="V7" t="n">
        <v>104</v>
      </c>
      <c r="W7" t="n">
        <v>74.09999999999999</v>
      </c>
      <c r="X7" t="n">
        <v>282</v>
      </c>
      <c r="Y7" t="n">
        <v>150</v>
      </c>
      <c r="Z7" t="n">
        <v>274</v>
      </c>
      <c r="AA7" t="n">
        <v>235</v>
      </c>
      <c r="AB7" t="n">
        <v>158</v>
      </c>
    </row>
    <row r="8">
      <c r="B8" t="n">
        <v>1982</v>
      </c>
      <c r="C8" s="29">
        <f>IF(Q8*DAY(EOMONTH(DATE($B8,$C$2,1),0))*24*3600/$AE$2/10^6&gt;$AE$3,$AE$3,Q8*DAY(EOMONTH(DATE($B8,$C$2,1),0))*24*3600/$AE$2/10^6)</f>
        <v/>
      </c>
      <c r="D8" s="29">
        <f>IF(R8*DAY(EOMONTH(DATE($B8,$D$2,1),0))*24*3600/$AE$2/10^6&gt;$AE$3,$AE$3,R8*DAY(EOMONTH(DATE($B8,$D$2,1),0))*24*3600/$AE$2/10^6)</f>
        <v/>
      </c>
      <c r="E8" s="29">
        <f>IF(S8*DAY(EOMONTH(DATE($B8,$E$2,1),0))*24*3600/$AE$2/10^6&gt;$AE$3,$AE$3,S8*DAY(EOMONTH(DATE($B8,$E$2,1),0))*24*3600/$AE$2/10^6)</f>
        <v/>
      </c>
      <c r="F8" s="29">
        <f>IF(T8*DAY(EOMONTH(DATE($B8,$F$2,1),0))*24*3600/$AE$2/10^6&gt;$AE$3,$AE$3,T8*DAY(EOMONTH(DATE($B8,$F$2,1),0))*24*3600/$AE$2/10^6)</f>
        <v/>
      </c>
      <c r="G8" s="29">
        <f>IF(U8*DAY(EOMONTH(DATE($B8,$G$2,1),0))*24*3600/$AE$2/10^6&gt;$AE$3,$AE$3,U8*DAY(EOMONTH(DATE($B8,$G$2,1),0))*24*3600/$AE$2/10^6)</f>
        <v/>
      </c>
      <c r="H8" s="29">
        <f>IF(V8*DAY(EOMONTH(DATE($B8,$H$2,1),0))*24*3600/$AE$2/10^6&gt;$AE$3,$AE$3,V8*DAY(EOMONTH(DATE($B8,$H$2,1),0))*24*3600/$AE$2/10^6)</f>
        <v/>
      </c>
      <c r="I8" s="29">
        <f>IF(W8*DAY(EOMONTH(DATE($B8,$I$2,1),0))*24*3600/$AE$2/10^6&gt;$AE$3,$AE$3,W8*DAY(EOMONTH(DATE($B8,$I$2,1),0))*24*3600/$AE$2/10^6)</f>
        <v/>
      </c>
      <c r="J8" s="29">
        <f>IF(X8*DAY(EOMONTH(DATE($B8,$J$2,1),0))*24*3600/$AE$2/10^6&gt;$AE$3,$AE$3,X8*DAY(EOMONTH(DATE($B8,$J$2,1),0))*24*3600/$AE$2/10^6)</f>
        <v/>
      </c>
      <c r="K8" s="29">
        <f>IF(Y8*DAY(EOMONTH(DATE($B8,$K$2,1),0))*24*3600/$AE$2/10^6&gt;$AE$3,$AE$3,Y8*DAY(EOMONTH(DATE($B8,$K$2,1),0))*24*3600/$AE$2/10^6)</f>
        <v/>
      </c>
      <c r="L8" s="29">
        <f>IF(Z8*DAY(EOMONTH(DATE($B8,$L$2,1),0))*24*3600/$AE$2/10^6&gt;$AE$3,$AE$3,Z8*DAY(EOMONTH(DATE($B8,$L$2,1),0))*24*3600/$AE$2/10^6)</f>
        <v/>
      </c>
      <c r="M8" s="29">
        <f>IF(AA8*DAY(EOMONTH(DATE($B8,$M$2,1),0))*24*3600/$AE$2/10^6&gt;$AE$3,$AE$3,AA8*DAY(EOMONTH(DATE($B8,$M$2,1),0))*24*3600/$AE$2/10^6)</f>
        <v/>
      </c>
      <c r="N8" s="29">
        <f>IF(AB8*DAY(EOMONTH(DATE($B8,$N$2,1),0))*24*3600/$AE$2/10^6&gt;$AE$3,$AE$3,AB8*DAY(EOMONTH(DATE($B8,$N$2,1),0))*24*3600/$AE$2/10^6)</f>
        <v/>
      </c>
      <c r="O8" s="30">
        <f>SUM(C8:N8)</f>
        <v/>
      </c>
      <c r="Q8" t="n">
        <v>60.9</v>
      </c>
      <c r="R8" t="n">
        <v>39</v>
      </c>
      <c r="S8" t="n">
        <v>29.4</v>
      </c>
      <c r="T8" t="n">
        <v>31.5</v>
      </c>
      <c r="U8" t="n">
        <v>29</v>
      </c>
      <c r="V8" t="n">
        <v>75.09999999999999</v>
      </c>
      <c r="W8" t="n">
        <v>89</v>
      </c>
      <c r="X8" t="n">
        <v>76.7</v>
      </c>
      <c r="Y8" t="n">
        <v>307</v>
      </c>
      <c r="Z8" t="n">
        <v>135</v>
      </c>
      <c r="AA8" t="n">
        <v>80.7</v>
      </c>
      <c r="AB8" t="n">
        <v>49</v>
      </c>
    </row>
    <row r="9">
      <c r="B9" t="n">
        <v>1983</v>
      </c>
      <c r="C9" s="29">
        <f>IF(Q9*DAY(EOMONTH(DATE($B9,$C$2,1),0))*24*3600/$AE$2/10^6&gt;$AE$3,$AE$3,Q9*DAY(EOMONTH(DATE($B9,$C$2,1),0))*24*3600/$AE$2/10^6)</f>
        <v/>
      </c>
      <c r="D9" s="29">
        <f>IF(R9*DAY(EOMONTH(DATE($B9,$D$2,1),0))*24*3600/$AE$2/10^6&gt;$AE$3,$AE$3,R9*DAY(EOMONTH(DATE($B9,$D$2,1),0))*24*3600/$AE$2/10^6)</f>
        <v/>
      </c>
      <c r="E9" s="29">
        <f>IF(S9*DAY(EOMONTH(DATE($B9,$E$2,1),0))*24*3600/$AE$2/10^6&gt;$AE$3,$AE$3,S9*DAY(EOMONTH(DATE($B9,$E$2,1),0))*24*3600/$AE$2/10^6)</f>
        <v/>
      </c>
      <c r="F9" s="29">
        <f>IF(T9*DAY(EOMONTH(DATE($B9,$F$2,1),0))*24*3600/$AE$2/10^6&gt;$AE$3,$AE$3,T9*DAY(EOMONTH(DATE($B9,$F$2,1),0))*24*3600/$AE$2/10^6)</f>
        <v/>
      </c>
      <c r="G9" s="29">
        <f>IF(U9*DAY(EOMONTH(DATE($B9,$G$2,1),0))*24*3600/$AE$2/10^6&gt;$AE$3,$AE$3,U9*DAY(EOMONTH(DATE($B9,$G$2,1),0))*24*3600/$AE$2/10^6)</f>
        <v/>
      </c>
      <c r="H9" s="29">
        <f>IF(V9*DAY(EOMONTH(DATE($B9,$H$2,1),0))*24*3600/$AE$2/10^6&gt;$AE$3,$AE$3,V9*DAY(EOMONTH(DATE($B9,$H$2,1),0))*24*3600/$AE$2/10^6)</f>
        <v/>
      </c>
      <c r="I9" s="29">
        <f>IF(W9*DAY(EOMONTH(DATE($B9,$I$2,1),0))*24*3600/$AE$2/10^6&gt;$AE$3,$AE$3,W9*DAY(EOMONTH(DATE($B9,$I$2,1),0))*24*3600/$AE$2/10^6)</f>
        <v/>
      </c>
      <c r="J9" s="29">
        <f>IF(X9*DAY(EOMONTH(DATE($B9,$J$2,1),0))*24*3600/$AE$2/10^6&gt;$AE$3,$AE$3,X9*DAY(EOMONTH(DATE($B9,$J$2,1),0))*24*3600/$AE$2/10^6)</f>
        <v/>
      </c>
      <c r="K9" s="29">
        <f>IF(Y9*DAY(EOMONTH(DATE($B9,$K$2,1),0))*24*3600/$AE$2/10^6&gt;$AE$3,$AE$3,Y9*DAY(EOMONTH(DATE($B9,$K$2,1),0))*24*3600/$AE$2/10^6)</f>
        <v/>
      </c>
      <c r="L9" s="29">
        <f>IF(Z9*DAY(EOMONTH(DATE($B9,$L$2,1),0))*24*3600/$AE$2/10^6&gt;$AE$3,$AE$3,Z9*DAY(EOMONTH(DATE($B9,$L$2,1),0))*24*3600/$AE$2/10^6)</f>
        <v/>
      </c>
      <c r="M9" s="29">
        <f>IF(AA9*DAY(EOMONTH(DATE($B9,$M$2,1),0))*24*3600/$AE$2/10^6&gt;$AE$3,$AE$3,AA9*DAY(EOMONTH(DATE($B9,$M$2,1),0))*24*3600/$AE$2/10^6)</f>
        <v/>
      </c>
      <c r="N9" s="29">
        <f>IF(AB9*DAY(EOMONTH(DATE($B9,$N$2,1),0))*24*3600/$AE$2/10^6&gt;$AE$3,$AE$3,AB9*DAY(EOMONTH(DATE($B9,$N$2,1),0))*24*3600/$AE$2/10^6)</f>
        <v/>
      </c>
      <c r="O9" s="30">
        <f>SUM(C9:N9)</f>
        <v/>
      </c>
      <c r="Q9" t="n">
        <v>38.1</v>
      </c>
      <c r="R9" t="n">
        <v>27.6</v>
      </c>
      <c r="S9" t="n">
        <v>22.1</v>
      </c>
      <c r="T9" t="n">
        <v>18.3</v>
      </c>
      <c r="U9" t="n">
        <v>28.5</v>
      </c>
      <c r="V9" t="n">
        <v>50</v>
      </c>
      <c r="W9" t="n">
        <v>41.8</v>
      </c>
      <c r="X9" t="n">
        <v>106</v>
      </c>
      <c r="Y9" t="n">
        <v>107</v>
      </c>
      <c r="Z9" t="n">
        <v>302</v>
      </c>
      <c r="AA9" t="n">
        <v>123</v>
      </c>
      <c r="AB9" t="n">
        <v>61.1</v>
      </c>
    </row>
    <row r="10">
      <c r="B10" t="n">
        <v>1984</v>
      </c>
      <c r="C10" s="29">
        <f>IF(Q10*DAY(EOMONTH(DATE($B10,$C$2,1),0))*24*3600/$AE$2/10^6&gt;$AE$3,$AE$3,Q10*DAY(EOMONTH(DATE($B10,$C$2,1),0))*24*3600/$AE$2/10^6)</f>
        <v/>
      </c>
      <c r="D10" s="29">
        <f>IF(R10*DAY(EOMONTH(DATE($B10,$D$2,1),0))*24*3600/$AE$2/10^6&gt;$AE$3,$AE$3,R10*DAY(EOMONTH(DATE($B10,$D$2,1),0))*24*3600/$AE$2/10^6)</f>
        <v/>
      </c>
      <c r="E10" s="29">
        <f>IF(S10*DAY(EOMONTH(DATE($B10,$E$2,1),0))*24*3600/$AE$2/10^6&gt;$AE$3,$AE$3,S10*DAY(EOMONTH(DATE($B10,$E$2,1),0))*24*3600/$AE$2/10^6)</f>
        <v/>
      </c>
      <c r="F10" s="29">
        <f>IF(T10*DAY(EOMONTH(DATE($B10,$F$2,1),0))*24*3600/$AE$2/10^6&gt;$AE$3,$AE$3,T10*DAY(EOMONTH(DATE($B10,$F$2,1),0))*24*3600/$AE$2/10^6)</f>
        <v/>
      </c>
      <c r="G10" s="29">
        <f>IF(U10*DAY(EOMONTH(DATE($B10,$G$2,1),0))*24*3600/$AE$2/10^6&gt;$AE$3,$AE$3,U10*DAY(EOMONTH(DATE($B10,$G$2,1),0))*24*3600/$AE$2/10^6)</f>
        <v/>
      </c>
      <c r="H10" s="29">
        <f>IF(V10*DAY(EOMONTH(DATE($B10,$H$2,1),0))*24*3600/$AE$2/10^6&gt;$AE$3,$AE$3,V10*DAY(EOMONTH(DATE($B10,$H$2,1),0))*24*3600/$AE$2/10^6)</f>
        <v/>
      </c>
      <c r="I10" s="29">
        <f>IF(W10*DAY(EOMONTH(DATE($B10,$I$2,1),0))*24*3600/$AE$2/10^6&gt;$AE$3,$AE$3,W10*DAY(EOMONTH(DATE($B10,$I$2,1),0))*24*3600/$AE$2/10^6)</f>
        <v/>
      </c>
      <c r="J10" s="29">
        <f>IF(X10*DAY(EOMONTH(DATE($B10,$J$2,1),0))*24*3600/$AE$2/10^6&gt;$AE$3,$AE$3,X10*DAY(EOMONTH(DATE($B10,$J$2,1),0))*24*3600/$AE$2/10^6)</f>
        <v/>
      </c>
      <c r="K10" s="29">
        <f>IF(Y10*DAY(EOMONTH(DATE($B10,$K$2,1),0))*24*3600/$AE$2/10^6&gt;$AE$3,$AE$3,Y10*DAY(EOMONTH(DATE($B10,$K$2,1),0))*24*3600/$AE$2/10^6)</f>
        <v/>
      </c>
      <c r="L10" s="29">
        <f>IF(Z10*DAY(EOMONTH(DATE($B10,$L$2,1),0))*24*3600/$AE$2/10^6&gt;$AE$3,$AE$3,Z10*DAY(EOMONTH(DATE($B10,$L$2,1),0))*24*3600/$AE$2/10^6)</f>
        <v/>
      </c>
      <c r="M10" s="29">
        <f>IF(AA10*DAY(EOMONTH(DATE($B10,$M$2,1),0))*24*3600/$AE$2/10^6&gt;$AE$3,$AE$3,AA10*DAY(EOMONTH(DATE($B10,$M$2,1),0))*24*3600/$AE$2/10^6)</f>
        <v/>
      </c>
      <c r="N10" s="29">
        <f>IF(AB10*DAY(EOMONTH(DATE($B10,$N$2,1),0))*24*3600/$AE$2/10^6&gt;$AE$3,$AE$3,AB10*DAY(EOMONTH(DATE($B10,$N$2,1),0))*24*3600/$AE$2/10^6)</f>
        <v/>
      </c>
      <c r="O10" s="30">
        <f>SUM(C10:N10)</f>
        <v/>
      </c>
      <c r="Q10" t="n">
        <v>41.4</v>
      </c>
      <c r="R10" t="n">
        <v>28.4</v>
      </c>
      <c r="S10" t="n">
        <v>21.9</v>
      </c>
      <c r="T10" t="n">
        <v>26.7</v>
      </c>
      <c r="U10" t="n">
        <v>43.9</v>
      </c>
      <c r="V10" t="n">
        <v>81.09999999999999</v>
      </c>
      <c r="W10" t="n">
        <v>94.90000000000001</v>
      </c>
      <c r="X10" t="n">
        <v>296</v>
      </c>
      <c r="Y10" t="n">
        <v>250</v>
      </c>
      <c r="Z10" t="n">
        <v>254</v>
      </c>
      <c r="AA10" t="n">
        <v>115</v>
      </c>
      <c r="AB10" t="n">
        <v>79</v>
      </c>
    </row>
    <row r="11">
      <c r="B11" t="n">
        <v>1985</v>
      </c>
      <c r="C11" s="29">
        <f>IF(Q11*DAY(EOMONTH(DATE($B11,$C$2,1),0))*24*3600/$AE$2/10^6&gt;$AE$3,$AE$3,Q11*DAY(EOMONTH(DATE($B11,$C$2,1),0))*24*3600/$AE$2/10^6)</f>
        <v/>
      </c>
      <c r="D11" s="29">
        <f>IF(R11*DAY(EOMONTH(DATE($B11,$D$2,1),0))*24*3600/$AE$2/10^6&gt;$AE$3,$AE$3,R11*DAY(EOMONTH(DATE($B11,$D$2,1),0))*24*3600/$AE$2/10^6)</f>
        <v/>
      </c>
      <c r="E11" s="29">
        <f>IF(S11*DAY(EOMONTH(DATE($B11,$E$2,1),0))*24*3600/$AE$2/10^6&gt;$AE$3,$AE$3,S11*DAY(EOMONTH(DATE($B11,$E$2,1),0))*24*3600/$AE$2/10^6)</f>
        <v/>
      </c>
      <c r="F11" s="29">
        <f>IF(T11*DAY(EOMONTH(DATE($B11,$F$2,1),0))*24*3600/$AE$2/10^6&gt;$AE$3,$AE$3,T11*DAY(EOMONTH(DATE($B11,$F$2,1),0))*24*3600/$AE$2/10^6)</f>
        <v/>
      </c>
      <c r="G11" s="29">
        <f>IF(U11*DAY(EOMONTH(DATE($B11,$G$2,1),0))*24*3600/$AE$2/10^6&gt;$AE$3,$AE$3,U11*DAY(EOMONTH(DATE($B11,$G$2,1),0))*24*3600/$AE$2/10^6)</f>
        <v/>
      </c>
      <c r="H11" s="29">
        <f>IF(V11*DAY(EOMONTH(DATE($B11,$H$2,1),0))*24*3600/$AE$2/10^6&gt;$AE$3,$AE$3,V11*DAY(EOMONTH(DATE($B11,$H$2,1),0))*24*3600/$AE$2/10^6)</f>
        <v/>
      </c>
      <c r="I11" s="29">
        <f>IF(W11*DAY(EOMONTH(DATE($B11,$I$2,1),0))*24*3600/$AE$2/10^6&gt;$AE$3,$AE$3,W11*DAY(EOMONTH(DATE($B11,$I$2,1),0))*24*3600/$AE$2/10^6)</f>
        <v/>
      </c>
      <c r="J11" s="29">
        <f>IF(X11*DAY(EOMONTH(DATE($B11,$J$2,1),0))*24*3600/$AE$2/10^6&gt;$AE$3,$AE$3,X11*DAY(EOMONTH(DATE($B11,$J$2,1),0))*24*3600/$AE$2/10^6)</f>
        <v/>
      </c>
      <c r="K11" s="29">
        <f>IF(Y11*DAY(EOMONTH(DATE($B11,$K$2,1),0))*24*3600/$AE$2/10^6&gt;$AE$3,$AE$3,Y11*DAY(EOMONTH(DATE($B11,$K$2,1),0))*24*3600/$AE$2/10^6)</f>
        <v/>
      </c>
      <c r="L11" s="29">
        <f>IF(Z11*DAY(EOMONTH(DATE($B11,$L$2,1),0))*24*3600/$AE$2/10^6&gt;$AE$3,$AE$3,Z11*DAY(EOMONTH(DATE($B11,$L$2,1),0))*24*3600/$AE$2/10^6)</f>
        <v/>
      </c>
      <c r="M11" s="29">
        <f>IF(AA11*DAY(EOMONTH(DATE($B11,$M$2,1),0))*24*3600/$AE$2/10^6&gt;$AE$3,$AE$3,AA11*DAY(EOMONTH(DATE($B11,$M$2,1),0))*24*3600/$AE$2/10^6)</f>
        <v/>
      </c>
      <c r="N11" s="29">
        <f>IF(AB11*DAY(EOMONTH(DATE($B11,$N$2,1),0))*24*3600/$AE$2/10^6&gt;$AE$3,$AE$3,AB11*DAY(EOMONTH(DATE($B11,$N$2,1),0))*24*3600/$AE$2/10^6)</f>
        <v/>
      </c>
      <c r="O11" s="30">
        <f>SUM(C11:N11)</f>
        <v/>
      </c>
      <c r="Q11" t="n">
        <v>43</v>
      </c>
      <c r="R11" t="n">
        <v>30</v>
      </c>
      <c r="S11" t="n">
        <v>23.4</v>
      </c>
      <c r="T11" t="n">
        <v>36.3</v>
      </c>
      <c r="U11" t="n">
        <v>43.3</v>
      </c>
      <c r="V11" t="n">
        <v>81.2</v>
      </c>
      <c r="W11" t="n">
        <v>112</v>
      </c>
      <c r="X11" t="n">
        <v>105</v>
      </c>
      <c r="Y11" t="n">
        <v>178</v>
      </c>
      <c r="Z11" t="n">
        <v>155</v>
      </c>
      <c r="AA11" t="n">
        <v>90</v>
      </c>
      <c r="AB11" t="n">
        <v>71.40000000000001</v>
      </c>
    </row>
    <row r="12">
      <c r="B12" t="n">
        <v>1986</v>
      </c>
      <c r="C12" s="29">
        <f>IF(Q12*DAY(EOMONTH(DATE($B12,$C$2,1),0))*24*3600/$AE$2/10^6&gt;$AE$3,$AE$3,Q12*DAY(EOMONTH(DATE($B12,$C$2,1),0))*24*3600/$AE$2/10^6)</f>
        <v/>
      </c>
      <c r="D12" s="29">
        <f>IF(R12*DAY(EOMONTH(DATE($B12,$D$2,1),0))*24*3600/$AE$2/10^6&gt;$AE$3,$AE$3,R12*DAY(EOMONTH(DATE($B12,$D$2,1),0))*24*3600/$AE$2/10^6)</f>
        <v/>
      </c>
      <c r="E12" s="29">
        <f>IF(S12*DAY(EOMONTH(DATE($B12,$E$2,1),0))*24*3600/$AE$2/10^6&gt;$AE$3,$AE$3,S12*DAY(EOMONTH(DATE($B12,$E$2,1),0))*24*3600/$AE$2/10^6)</f>
        <v/>
      </c>
      <c r="F12" s="29">
        <f>IF(T12*DAY(EOMONTH(DATE($B12,$F$2,1),0))*24*3600/$AE$2/10^6&gt;$AE$3,$AE$3,T12*DAY(EOMONTH(DATE($B12,$F$2,1),0))*24*3600/$AE$2/10^6)</f>
        <v/>
      </c>
      <c r="G12" s="29">
        <f>IF(U12*DAY(EOMONTH(DATE($B12,$G$2,1),0))*24*3600/$AE$2/10^6&gt;$AE$3,$AE$3,U12*DAY(EOMONTH(DATE($B12,$G$2,1),0))*24*3600/$AE$2/10^6)</f>
        <v/>
      </c>
      <c r="H12" s="29">
        <f>IF(V12*DAY(EOMONTH(DATE($B12,$H$2,1),0))*24*3600/$AE$2/10^6&gt;$AE$3,$AE$3,V12*DAY(EOMONTH(DATE($B12,$H$2,1),0))*24*3600/$AE$2/10^6)</f>
        <v/>
      </c>
      <c r="I12" s="29">
        <f>IF(W12*DAY(EOMONTH(DATE($B12,$I$2,1),0))*24*3600/$AE$2/10^6&gt;$AE$3,$AE$3,W12*DAY(EOMONTH(DATE($B12,$I$2,1),0))*24*3600/$AE$2/10^6)</f>
        <v/>
      </c>
      <c r="J12" s="29">
        <f>IF(X12*DAY(EOMONTH(DATE($B12,$J$2,1),0))*24*3600/$AE$2/10^6&gt;$AE$3,$AE$3,X12*DAY(EOMONTH(DATE($B12,$J$2,1),0))*24*3600/$AE$2/10^6)</f>
        <v/>
      </c>
      <c r="K12" s="29">
        <f>IF(Y12*DAY(EOMONTH(DATE($B12,$K$2,1),0))*24*3600/$AE$2/10^6&gt;$AE$3,$AE$3,Y12*DAY(EOMONTH(DATE($B12,$K$2,1),0))*24*3600/$AE$2/10^6)</f>
        <v/>
      </c>
      <c r="L12" s="29">
        <f>IF(Z12*DAY(EOMONTH(DATE($B12,$L$2,1),0))*24*3600/$AE$2/10^6&gt;$AE$3,$AE$3,Z12*DAY(EOMONTH(DATE($B12,$L$2,1),0))*24*3600/$AE$2/10^6)</f>
        <v/>
      </c>
      <c r="M12" s="29">
        <f>IF(AA12*DAY(EOMONTH(DATE($B12,$M$2,1),0))*24*3600/$AE$2/10^6&gt;$AE$3,$AE$3,AA12*DAY(EOMONTH(DATE($B12,$M$2,1),0))*24*3600/$AE$2/10^6)</f>
        <v/>
      </c>
      <c r="N12" s="29">
        <f>IF(AB12*DAY(EOMONTH(DATE($B12,$N$2,1),0))*24*3600/$AE$2/10^6&gt;$AE$3,$AE$3,AB12*DAY(EOMONTH(DATE($B12,$N$2,1),0))*24*3600/$AE$2/10^6)</f>
        <v/>
      </c>
      <c r="O12" s="30">
        <f>SUM(C12:N12)</f>
        <v/>
      </c>
      <c r="Q12" t="n">
        <v>39</v>
      </c>
      <c r="R12" t="n">
        <v>25.2</v>
      </c>
      <c r="S12" t="n">
        <v>19.4</v>
      </c>
      <c r="T12" t="n">
        <v>13.1</v>
      </c>
      <c r="U12" t="n">
        <v>24.6</v>
      </c>
      <c r="V12" t="n">
        <v>34.2</v>
      </c>
      <c r="W12" t="n">
        <v>70</v>
      </c>
      <c r="X12" t="n">
        <v>231</v>
      </c>
      <c r="Y12" t="n">
        <v>167</v>
      </c>
      <c r="Z12" t="n">
        <v>164</v>
      </c>
      <c r="AA12" t="n">
        <v>96.7</v>
      </c>
      <c r="AB12" t="n">
        <v>113</v>
      </c>
    </row>
    <row r="13">
      <c r="B13" t="n">
        <v>1987</v>
      </c>
      <c r="C13" s="29">
        <f>IF(Q13*DAY(EOMONTH(DATE($B13,$C$2,1),0))*24*3600/$AE$2/10^6&gt;$AE$3,$AE$3,Q13*DAY(EOMONTH(DATE($B13,$C$2,1),0))*24*3600/$AE$2/10^6)</f>
        <v/>
      </c>
      <c r="D13" s="29">
        <f>IF(R13*DAY(EOMONTH(DATE($B13,$D$2,1),0))*24*3600/$AE$2/10^6&gt;$AE$3,$AE$3,R13*DAY(EOMONTH(DATE($B13,$D$2,1),0))*24*3600/$AE$2/10^6)</f>
        <v/>
      </c>
      <c r="E13" s="29">
        <f>IF(S13*DAY(EOMONTH(DATE($B13,$E$2,1),0))*24*3600/$AE$2/10^6&gt;$AE$3,$AE$3,S13*DAY(EOMONTH(DATE($B13,$E$2,1),0))*24*3600/$AE$2/10^6)</f>
        <v/>
      </c>
      <c r="F13" s="29">
        <f>IF(T13*DAY(EOMONTH(DATE($B13,$F$2,1),0))*24*3600/$AE$2/10^6&gt;$AE$3,$AE$3,T13*DAY(EOMONTH(DATE($B13,$F$2,1),0))*24*3600/$AE$2/10^6)</f>
        <v/>
      </c>
      <c r="G13" s="29">
        <f>IF(U13*DAY(EOMONTH(DATE($B13,$G$2,1),0))*24*3600/$AE$2/10^6&gt;$AE$3,$AE$3,U13*DAY(EOMONTH(DATE($B13,$G$2,1),0))*24*3600/$AE$2/10^6)</f>
        <v/>
      </c>
      <c r="H13" s="29">
        <f>IF(V13*DAY(EOMONTH(DATE($B13,$H$2,1),0))*24*3600/$AE$2/10^6&gt;$AE$3,$AE$3,V13*DAY(EOMONTH(DATE($B13,$H$2,1),0))*24*3600/$AE$2/10^6)</f>
        <v/>
      </c>
      <c r="I13" s="29">
        <f>IF(W13*DAY(EOMONTH(DATE($B13,$I$2,1),0))*24*3600/$AE$2/10^6&gt;$AE$3,$AE$3,W13*DAY(EOMONTH(DATE($B13,$I$2,1),0))*24*3600/$AE$2/10^6)</f>
        <v/>
      </c>
      <c r="J13" s="29">
        <f>IF(X13*DAY(EOMONTH(DATE($B13,$J$2,1),0))*24*3600/$AE$2/10^6&gt;$AE$3,$AE$3,X13*DAY(EOMONTH(DATE($B13,$J$2,1),0))*24*3600/$AE$2/10^6)</f>
        <v/>
      </c>
      <c r="K13" s="29">
        <f>IF(Y13*DAY(EOMONTH(DATE($B13,$K$2,1),0))*24*3600/$AE$2/10^6&gt;$AE$3,$AE$3,Y13*DAY(EOMONTH(DATE($B13,$K$2,1),0))*24*3600/$AE$2/10^6)</f>
        <v/>
      </c>
      <c r="L13" s="29">
        <f>IF(Z13*DAY(EOMONTH(DATE($B13,$L$2,1),0))*24*3600/$AE$2/10^6&gt;$AE$3,$AE$3,Z13*DAY(EOMONTH(DATE($B13,$L$2,1),0))*24*3600/$AE$2/10^6)</f>
        <v/>
      </c>
      <c r="M13" s="29">
        <f>IF(AA13*DAY(EOMONTH(DATE($B13,$M$2,1),0))*24*3600/$AE$2/10^6&gt;$AE$3,$AE$3,AA13*DAY(EOMONTH(DATE($B13,$M$2,1),0))*24*3600/$AE$2/10^6)</f>
        <v/>
      </c>
      <c r="N13" s="29">
        <f>IF(AB13*DAY(EOMONTH(DATE($B13,$N$2,1),0))*24*3600/$AE$2/10^6&gt;$AE$3,$AE$3,AB13*DAY(EOMONTH(DATE($B13,$N$2,1),0))*24*3600/$AE$2/10^6)</f>
        <v/>
      </c>
      <c r="O13" s="30">
        <f>SUM(C13:N13)</f>
        <v/>
      </c>
      <c r="Q13" t="n">
        <v>51</v>
      </c>
      <c r="R13" t="n">
        <v>33.2</v>
      </c>
      <c r="S13" t="n">
        <v>24.8</v>
      </c>
      <c r="T13" t="n">
        <v>16.7</v>
      </c>
      <c r="U13" t="n">
        <v>22.4</v>
      </c>
      <c r="V13" t="n">
        <v>64</v>
      </c>
      <c r="W13" t="n">
        <v>118</v>
      </c>
      <c r="X13" t="n">
        <v>122</v>
      </c>
      <c r="Y13" t="n">
        <v>213</v>
      </c>
      <c r="Z13" t="n">
        <v>139</v>
      </c>
      <c r="AA13" t="n">
        <v>111</v>
      </c>
      <c r="AB13" t="n">
        <v>69.3</v>
      </c>
    </row>
    <row r="14">
      <c r="B14" t="n">
        <v>1988</v>
      </c>
      <c r="C14" s="29">
        <f>IF(Q14*DAY(EOMONTH(DATE($B14,$C$2,1),0))*24*3600/$AE$2/10^6&gt;$AE$3,$AE$3,Q14*DAY(EOMONTH(DATE($B14,$C$2,1),0))*24*3600/$AE$2/10^6)</f>
        <v/>
      </c>
      <c r="D14" s="29">
        <f>IF(R14*DAY(EOMONTH(DATE($B14,$D$2,1),0))*24*3600/$AE$2/10^6&gt;$AE$3,$AE$3,R14*DAY(EOMONTH(DATE($B14,$D$2,1),0))*24*3600/$AE$2/10^6)</f>
        <v/>
      </c>
      <c r="E14" s="29">
        <f>IF(S14*DAY(EOMONTH(DATE($B14,$E$2,1),0))*24*3600/$AE$2/10^6&gt;$AE$3,$AE$3,S14*DAY(EOMONTH(DATE($B14,$E$2,1),0))*24*3600/$AE$2/10^6)</f>
        <v/>
      </c>
      <c r="F14" s="29">
        <f>IF(T14*DAY(EOMONTH(DATE($B14,$F$2,1),0))*24*3600/$AE$2/10^6&gt;$AE$3,$AE$3,T14*DAY(EOMONTH(DATE($B14,$F$2,1),0))*24*3600/$AE$2/10^6)</f>
        <v/>
      </c>
      <c r="G14" s="29">
        <f>IF(U14*DAY(EOMONTH(DATE($B14,$G$2,1),0))*24*3600/$AE$2/10^6&gt;$AE$3,$AE$3,U14*DAY(EOMONTH(DATE($B14,$G$2,1),0))*24*3600/$AE$2/10^6)</f>
        <v/>
      </c>
      <c r="H14" s="29">
        <f>IF(V14*DAY(EOMONTH(DATE($B14,$H$2,1),0))*24*3600/$AE$2/10^6&gt;$AE$3,$AE$3,V14*DAY(EOMONTH(DATE($B14,$H$2,1),0))*24*3600/$AE$2/10^6)</f>
        <v/>
      </c>
      <c r="I14" s="29">
        <f>IF(W14*DAY(EOMONTH(DATE($B14,$I$2,1),0))*24*3600/$AE$2/10^6&gt;$AE$3,$AE$3,W14*DAY(EOMONTH(DATE($B14,$I$2,1),0))*24*3600/$AE$2/10^6)</f>
        <v/>
      </c>
      <c r="J14" s="29">
        <f>IF(X14*DAY(EOMONTH(DATE($B14,$J$2,1),0))*24*3600/$AE$2/10^6&gt;$AE$3,$AE$3,X14*DAY(EOMONTH(DATE($B14,$J$2,1),0))*24*3600/$AE$2/10^6)</f>
        <v/>
      </c>
      <c r="K14" s="29">
        <f>IF(Y14*DAY(EOMONTH(DATE($B14,$K$2,1),0))*24*3600/$AE$2/10^6&gt;$AE$3,$AE$3,Y14*DAY(EOMONTH(DATE($B14,$K$2,1),0))*24*3600/$AE$2/10^6)</f>
        <v/>
      </c>
      <c r="L14" s="29">
        <f>IF(Z14*DAY(EOMONTH(DATE($B14,$L$2,1),0))*24*3600/$AE$2/10^6&gt;$AE$3,$AE$3,Z14*DAY(EOMONTH(DATE($B14,$L$2,1),0))*24*3600/$AE$2/10^6)</f>
        <v/>
      </c>
      <c r="M14" s="29">
        <f>IF(AA14*DAY(EOMONTH(DATE($B14,$M$2,1),0))*24*3600/$AE$2/10^6&gt;$AE$3,$AE$3,AA14*DAY(EOMONTH(DATE($B14,$M$2,1),0))*24*3600/$AE$2/10^6)</f>
        <v/>
      </c>
      <c r="N14" s="29">
        <f>IF(AB14*DAY(EOMONTH(DATE($B14,$N$2,1),0))*24*3600/$AE$2/10^6&gt;$AE$3,$AE$3,AB14*DAY(EOMONTH(DATE($B14,$N$2,1),0))*24*3600/$AE$2/10^6)</f>
        <v/>
      </c>
      <c r="O14" s="30">
        <f>SUM(C14:N14)</f>
        <v/>
      </c>
      <c r="Q14" t="n">
        <v>44.4</v>
      </c>
      <c r="R14" t="n">
        <v>31.6</v>
      </c>
      <c r="S14" t="n">
        <v>21.5</v>
      </c>
      <c r="T14" t="n">
        <v>22</v>
      </c>
      <c r="U14" t="n">
        <v>41.2</v>
      </c>
      <c r="V14" t="n">
        <v>62.8</v>
      </c>
      <c r="W14" t="n">
        <v>66.7</v>
      </c>
      <c r="X14" t="n">
        <v>82</v>
      </c>
      <c r="Y14" t="n">
        <v>139</v>
      </c>
      <c r="Z14" t="n">
        <v>211</v>
      </c>
      <c r="AA14" t="n">
        <v>173</v>
      </c>
      <c r="AB14" t="n">
        <v>81.09999999999999</v>
      </c>
    </row>
    <row r="15">
      <c r="B15" t="n">
        <v>1989</v>
      </c>
      <c r="C15" s="29">
        <f>IF(Q15*DAY(EOMONTH(DATE($B15,$C$2,1),0))*24*3600/$AE$2/10^6&gt;$AE$3,$AE$3,Q15*DAY(EOMONTH(DATE($B15,$C$2,1),0))*24*3600/$AE$2/10^6)</f>
        <v/>
      </c>
      <c r="D15" s="29">
        <f>IF(R15*DAY(EOMONTH(DATE($B15,$D$2,1),0))*24*3600/$AE$2/10^6&gt;$AE$3,$AE$3,R15*DAY(EOMONTH(DATE($B15,$D$2,1),0))*24*3600/$AE$2/10^6)</f>
        <v/>
      </c>
      <c r="E15" s="29">
        <f>IF(S15*DAY(EOMONTH(DATE($B15,$E$2,1),0))*24*3600/$AE$2/10^6&gt;$AE$3,$AE$3,S15*DAY(EOMONTH(DATE($B15,$E$2,1),0))*24*3600/$AE$2/10^6)</f>
        <v/>
      </c>
      <c r="F15" s="29">
        <f>IF(T15*DAY(EOMONTH(DATE($B15,$F$2,1),0))*24*3600/$AE$2/10^6&gt;$AE$3,$AE$3,T15*DAY(EOMONTH(DATE($B15,$F$2,1),0))*24*3600/$AE$2/10^6)</f>
        <v/>
      </c>
      <c r="G15" s="29">
        <f>IF(U15*DAY(EOMONTH(DATE($B15,$G$2,1),0))*24*3600/$AE$2/10^6&gt;$AE$3,$AE$3,U15*DAY(EOMONTH(DATE($B15,$G$2,1),0))*24*3600/$AE$2/10^6)</f>
        <v/>
      </c>
      <c r="H15" s="29">
        <f>IF(V15*DAY(EOMONTH(DATE($B15,$H$2,1),0))*24*3600/$AE$2/10^6&gt;$AE$3,$AE$3,V15*DAY(EOMONTH(DATE($B15,$H$2,1),0))*24*3600/$AE$2/10^6)</f>
        <v/>
      </c>
      <c r="I15" s="29">
        <f>IF(W15*DAY(EOMONTH(DATE($B15,$I$2,1),0))*24*3600/$AE$2/10^6&gt;$AE$3,$AE$3,W15*DAY(EOMONTH(DATE($B15,$I$2,1),0))*24*3600/$AE$2/10^6)</f>
        <v/>
      </c>
      <c r="J15" s="29">
        <f>IF(X15*DAY(EOMONTH(DATE($B15,$J$2,1),0))*24*3600/$AE$2/10^6&gt;$AE$3,$AE$3,X15*DAY(EOMONTH(DATE($B15,$J$2,1),0))*24*3600/$AE$2/10^6)</f>
        <v/>
      </c>
      <c r="K15" s="29">
        <f>IF(Y15*DAY(EOMONTH(DATE($B15,$K$2,1),0))*24*3600/$AE$2/10^6&gt;$AE$3,$AE$3,Y15*DAY(EOMONTH(DATE($B15,$K$2,1),0))*24*3600/$AE$2/10^6)</f>
        <v/>
      </c>
      <c r="L15" s="29">
        <f>IF(Z15*DAY(EOMONTH(DATE($B15,$L$2,1),0))*24*3600/$AE$2/10^6&gt;$AE$3,$AE$3,Z15*DAY(EOMONTH(DATE($B15,$L$2,1),0))*24*3600/$AE$2/10^6)</f>
        <v/>
      </c>
      <c r="M15" s="29">
        <f>IF(AA15*DAY(EOMONTH(DATE($B15,$M$2,1),0))*24*3600/$AE$2/10^6&gt;$AE$3,$AE$3,AA15*DAY(EOMONTH(DATE($B15,$M$2,1),0))*24*3600/$AE$2/10^6)</f>
        <v/>
      </c>
      <c r="N15" s="29">
        <f>IF(AB15*DAY(EOMONTH(DATE($B15,$N$2,1),0))*24*3600/$AE$2/10^6&gt;$AE$3,$AE$3,AB15*DAY(EOMONTH(DATE($B15,$N$2,1),0))*24*3600/$AE$2/10^6)</f>
        <v/>
      </c>
      <c r="O15" s="30">
        <f>SUM(C15:N15)</f>
        <v/>
      </c>
      <c r="Q15" t="n">
        <v>55.3</v>
      </c>
      <c r="R15" t="n">
        <v>33.6</v>
      </c>
      <c r="S15" t="n">
        <v>31.4</v>
      </c>
      <c r="T15" t="n">
        <v>31.2</v>
      </c>
      <c r="U15" t="n">
        <v>73.2</v>
      </c>
      <c r="V15" t="n">
        <v>105</v>
      </c>
      <c r="W15" t="n">
        <v>131</v>
      </c>
      <c r="X15" t="n">
        <v>193</v>
      </c>
      <c r="Y15" t="n">
        <v>243</v>
      </c>
      <c r="Z15" t="n">
        <v>173</v>
      </c>
      <c r="AA15" t="n">
        <v>93.90000000000001</v>
      </c>
      <c r="AB15" t="n">
        <v>56.3</v>
      </c>
    </row>
    <row r="16">
      <c r="B16" t="n">
        <v>1990</v>
      </c>
      <c r="C16" s="29">
        <f>IF(Q16*DAY(EOMONTH(DATE($B16,$C$2,1),0))*24*3600/$AE$2/10^6&gt;$AE$3,$AE$3,Q16*DAY(EOMONTH(DATE($B16,$C$2,1),0))*24*3600/$AE$2/10^6)</f>
        <v/>
      </c>
      <c r="D16" s="29">
        <f>IF(R16*DAY(EOMONTH(DATE($B16,$D$2,1),0))*24*3600/$AE$2/10^6&gt;$AE$3,$AE$3,R16*DAY(EOMONTH(DATE($B16,$D$2,1),0))*24*3600/$AE$2/10^6)</f>
        <v/>
      </c>
      <c r="E16" s="29">
        <f>IF(S16*DAY(EOMONTH(DATE($B16,$E$2,1),0))*24*3600/$AE$2/10^6&gt;$AE$3,$AE$3,S16*DAY(EOMONTH(DATE($B16,$E$2,1),0))*24*3600/$AE$2/10^6)</f>
        <v/>
      </c>
      <c r="F16" s="29">
        <f>IF(T16*DAY(EOMONTH(DATE($B16,$F$2,1),0))*24*3600/$AE$2/10^6&gt;$AE$3,$AE$3,T16*DAY(EOMONTH(DATE($B16,$F$2,1),0))*24*3600/$AE$2/10^6)</f>
        <v/>
      </c>
      <c r="G16" s="29">
        <f>IF(U16*DAY(EOMONTH(DATE($B16,$G$2,1),0))*24*3600/$AE$2/10^6&gt;$AE$3,$AE$3,U16*DAY(EOMONTH(DATE($B16,$G$2,1),0))*24*3600/$AE$2/10^6)</f>
        <v/>
      </c>
      <c r="H16" s="29">
        <f>IF(V16*DAY(EOMONTH(DATE($B16,$H$2,1),0))*24*3600/$AE$2/10^6&gt;$AE$3,$AE$3,V16*DAY(EOMONTH(DATE($B16,$H$2,1),0))*24*3600/$AE$2/10^6)</f>
        <v/>
      </c>
      <c r="I16" s="29">
        <f>IF(W16*DAY(EOMONTH(DATE($B16,$I$2,1),0))*24*3600/$AE$2/10^6&gt;$AE$3,$AE$3,W16*DAY(EOMONTH(DATE($B16,$I$2,1),0))*24*3600/$AE$2/10^6)</f>
        <v/>
      </c>
      <c r="J16" s="29">
        <f>IF(X16*DAY(EOMONTH(DATE($B16,$J$2,1),0))*24*3600/$AE$2/10^6&gt;$AE$3,$AE$3,X16*DAY(EOMONTH(DATE($B16,$J$2,1),0))*24*3600/$AE$2/10^6)</f>
        <v/>
      </c>
      <c r="K16" s="29">
        <f>IF(Y16*DAY(EOMONTH(DATE($B16,$K$2,1),0))*24*3600/$AE$2/10^6&gt;$AE$3,$AE$3,Y16*DAY(EOMONTH(DATE($B16,$K$2,1),0))*24*3600/$AE$2/10^6)</f>
        <v/>
      </c>
      <c r="L16" s="29">
        <f>IF(Z16*DAY(EOMONTH(DATE($B16,$L$2,1),0))*24*3600/$AE$2/10^6&gt;$AE$3,$AE$3,Z16*DAY(EOMONTH(DATE($B16,$L$2,1),0))*24*3600/$AE$2/10^6)</f>
        <v/>
      </c>
      <c r="M16" s="29">
        <f>IF(AA16*DAY(EOMONTH(DATE($B16,$M$2,1),0))*24*3600/$AE$2/10^6&gt;$AE$3,$AE$3,AA16*DAY(EOMONTH(DATE($B16,$M$2,1),0))*24*3600/$AE$2/10^6)</f>
        <v/>
      </c>
      <c r="N16" s="29">
        <f>IF(AB16*DAY(EOMONTH(DATE($B16,$N$2,1),0))*24*3600/$AE$2/10^6&gt;$AE$3,$AE$3,AB16*DAY(EOMONTH(DATE($B16,$N$2,1),0))*24*3600/$AE$2/10^6)</f>
        <v/>
      </c>
      <c r="O16" s="30">
        <f>SUM(C16:N16)</f>
        <v/>
      </c>
      <c r="Q16" t="n">
        <v>37.7</v>
      </c>
      <c r="R16" t="n">
        <v>26.6</v>
      </c>
      <c r="S16" t="n">
        <v>20.5</v>
      </c>
      <c r="T16" t="n">
        <v>21.6</v>
      </c>
      <c r="U16" t="n">
        <v>27.8</v>
      </c>
      <c r="V16" t="n">
        <v>179</v>
      </c>
      <c r="W16" t="n">
        <v>134</v>
      </c>
      <c r="X16" t="n">
        <v>271</v>
      </c>
      <c r="Y16" t="n">
        <v>260</v>
      </c>
      <c r="Z16" t="n">
        <v>176</v>
      </c>
      <c r="AA16" t="n">
        <v>229</v>
      </c>
      <c r="AB16" t="n">
        <v>101</v>
      </c>
    </row>
    <row r="17">
      <c r="B17" t="n">
        <v>1991</v>
      </c>
      <c r="C17" s="29">
        <f>IF(Q17*DAY(EOMONTH(DATE($B17,$C$2,1),0))*24*3600/$AE$2/10^6&gt;$AE$3,$AE$3,Q17*DAY(EOMONTH(DATE($B17,$C$2,1),0))*24*3600/$AE$2/10^6)</f>
        <v/>
      </c>
      <c r="D17" s="29">
        <f>IF(R17*DAY(EOMONTH(DATE($B17,$D$2,1),0))*24*3600/$AE$2/10^6&gt;$AE$3,$AE$3,R17*DAY(EOMONTH(DATE($B17,$D$2,1),0))*24*3600/$AE$2/10^6)</f>
        <v/>
      </c>
      <c r="E17" s="29">
        <f>IF(S17*DAY(EOMONTH(DATE($B17,$E$2,1),0))*24*3600/$AE$2/10^6&gt;$AE$3,$AE$3,S17*DAY(EOMONTH(DATE($B17,$E$2,1),0))*24*3600/$AE$2/10^6)</f>
        <v/>
      </c>
      <c r="F17" s="29">
        <f>IF(T17*DAY(EOMONTH(DATE($B17,$F$2,1),0))*24*3600/$AE$2/10^6&gt;$AE$3,$AE$3,T17*DAY(EOMONTH(DATE($B17,$F$2,1),0))*24*3600/$AE$2/10^6)</f>
        <v/>
      </c>
      <c r="G17" s="29">
        <f>IF(U17*DAY(EOMONTH(DATE($B17,$G$2,1),0))*24*3600/$AE$2/10^6&gt;$AE$3,$AE$3,U17*DAY(EOMONTH(DATE($B17,$G$2,1),0))*24*3600/$AE$2/10^6)</f>
        <v/>
      </c>
      <c r="H17" s="29">
        <f>IF(V17*DAY(EOMONTH(DATE($B17,$H$2,1),0))*24*3600/$AE$2/10^6&gt;$AE$3,$AE$3,V17*DAY(EOMONTH(DATE($B17,$H$2,1),0))*24*3600/$AE$2/10^6)</f>
        <v/>
      </c>
      <c r="I17" s="29">
        <f>IF(W17*DAY(EOMONTH(DATE($B17,$I$2,1),0))*24*3600/$AE$2/10^6&gt;$AE$3,$AE$3,W17*DAY(EOMONTH(DATE($B17,$I$2,1),0))*24*3600/$AE$2/10^6)</f>
        <v/>
      </c>
      <c r="J17" s="29">
        <f>IF(X17*DAY(EOMONTH(DATE($B17,$J$2,1),0))*24*3600/$AE$2/10^6&gt;$AE$3,$AE$3,X17*DAY(EOMONTH(DATE($B17,$J$2,1),0))*24*3600/$AE$2/10^6)</f>
        <v/>
      </c>
      <c r="K17" s="29">
        <f>IF(Y17*DAY(EOMONTH(DATE($B17,$K$2,1),0))*24*3600/$AE$2/10^6&gt;$AE$3,$AE$3,Y17*DAY(EOMONTH(DATE($B17,$K$2,1),0))*24*3600/$AE$2/10^6)</f>
        <v/>
      </c>
      <c r="L17" s="29">
        <f>IF(Z17*DAY(EOMONTH(DATE($B17,$L$2,1),0))*24*3600/$AE$2/10^6&gt;$AE$3,$AE$3,Z17*DAY(EOMONTH(DATE($B17,$L$2,1),0))*24*3600/$AE$2/10^6)</f>
        <v/>
      </c>
      <c r="M17" s="29">
        <f>IF(AA17*DAY(EOMONTH(DATE($B17,$M$2,1),0))*24*3600/$AE$2/10^6&gt;$AE$3,$AE$3,AA17*DAY(EOMONTH(DATE($B17,$M$2,1),0))*24*3600/$AE$2/10^6)</f>
        <v/>
      </c>
      <c r="N17" s="29">
        <f>IF(AB17*DAY(EOMONTH(DATE($B17,$N$2,1),0))*24*3600/$AE$2/10^6&gt;$AE$3,$AE$3,AB17*DAY(EOMONTH(DATE($B17,$N$2,1),0))*24*3600/$AE$2/10^6)</f>
        <v/>
      </c>
      <c r="O17" s="30">
        <f>SUM(C17:N17)</f>
        <v/>
      </c>
      <c r="Q17" t="n">
        <v>62.2</v>
      </c>
      <c r="R17" t="n">
        <v>38.8</v>
      </c>
      <c r="S17" t="n">
        <v>30.4</v>
      </c>
      <c r="T17" t="n">
        <v>27.4</v>
      </c>
      <c r="U17" t="n">
        <v>40.7</v>
      </c>
      <c r="V17" t="n">
        <v>53.3</v>
      </c>
      <c r="W17" t="n">
        <v>87.3</v>
      </c>
      <c r="X17" t="n">
        <v>137</v>
      </c>
      <c r="Y17" t="n">
        <v>178</v>
      </c>
      <c r="Z17" t="n">
        <v>181</v>
      </c>
      <c r="AA17" t="n">
        <v>81.40000000000001</v>
      </c>
      <c r="AB17" t="n">
        <v>42.5</v>
      </c>
    </row>
    <row r="18">
      <c r="B18" t="n">
        <v>1992</v>
      </c>
      <c r="C18" s="29">
        <f>IF(Q18*DAY(EOMONTH(DATE($B18,$C$2,1),0))*24*3600/$AE$2/10^6&gt;$AE$3,$AE$3,Q18*DAY(EOMONTH(DATE($B18,$C$2,1),0))*24*3600/$AE$2/10^6)</f>
        <v/>
      </c>
      <c r="D18" s="29">
        <f>IF(R18*DAY(EOMONTH(DATE($B18,$D$2,1),0))*24*3600/$AE$2/10^6&gt;$AE$3,$AE$3,R18*DAY(EOMONTH(DATE($B18,$D$2,1),0))*24*3600/$AE$2/10^6)</f>
        <v/>
      </c>
      <c r="E18" s="29">
        <f>IF(S18*DAY(EOMONTH(DATE($B18,$E$2,1),0))*24*3600/$AE$2/10^6&gt;$AE$3,$AE$3,S18*DAY(EOMONTH(DATE($B18,$E$2,1),0))*24*3600/$AE$2/10^6)</f>
        <v/>
      </c>
      <c r="F18" s="29">
        <f>IF(T18*DAY(EOMONTH(DATE($B18,$F$2,1),0))*24*3600/$AE$2/10^6&gt;$AE$3,$AE$3,T18*DAY(EOMONTH(DATE($B18,$F$2,1),0))*24*3600/$AE$2/10^6)</f>
        <v/>
      </c>
      <c r="G18" s="29">
        <f>IF(U18*DAY(EOMONTH(DATE($B18,$G$2,1),0))*24*3600/$AE$2/10^6&gt;$AE$3,$AE$3,U18*DAY(EOMONTH(DATE($B18,$G$2,1),0))*24*3600/$AE$2/10^6)</f>
        <v/>
      </c>
      <c r="H18" s="29">
        <f>IF(V18*DAY(EOMONTH(DATE($B18,$H$2,1),0))*24*3600/$AE$2/10^6&gt;$AE$3,$AE$3,V18*DAY(EOMONTH(DATE($B18,$H$2,1),0))*24*3600/$AE$2/10^6)</f>
        <v/>
      </c>
      <c r="I18" s="29">
        <f>IF(W18*DAY(EOMONTH(DATE($B18,$I$2,1),0))*24*3600/$AE$2/10^6&gt;$AE$3,$AE$3,W18*DAY(EOMONTH(DATE($B18,$I$2,1),0))*24*3600/$AE$2/10^6)</f>
        <v/>
      </c>
      <c r="J18" s="29">
        <f>IF(X18*DAY(EOMONTH(DATE($B18,$J$2,1),0))*24*3600/$AE$2/10^6&gt;$AE$3,$AE$3,X18*DAY(EOMONTH(DATE($B18,$J$2,1),0))*24*3600/$AE$2/10^6)</f>
        <v/>
      </c>
      <c r="K18" s="29">
        <f>IF(Y18*DAY(EOMONTH(DATE($B18,$K$2,1),0))*24*3600/$AE$2/10^6&gt;$AE$3,$AE$3,Y18*DAY(EOMONTH(DATE($B18,$K$2,1),0))*24*3600/$AE$2/10^6)</f>
        <v/>
      </c>
      <c r="L18" s="29">
        <f>IF(Z18*DAY(EOMONTH(DATE($B18,$L$2,1),0))*24*3600/$AE$2/10^6&gt;$AE$3,$AE$3,Z18*DAY(EOMONTH(DATE($B18,$L$2,1),0))*24*3600/$AE$2/10^6)</f>
        <v/>
      </c>
      <c r="M18" s="29">
        <f>IF(AA18*DAY(EOMONTH(DATE($B18,$M$2,1),0))*24*3600/$AE$2/10^6&gt;$AE$3,$AE$3,AA18*DAY(EOMONTH(DATE($B18,$M$2,1),0))*24*3600/$AE$2/10^6)</f>
        <v/>
      </c>
      <c r="N18" s="29">
        <f>IF(AB18*DAY(EOMONTH(DATE($B18,$N$2,1),0))*24*3600/$AE$2/10^6&gt;$AE$3,$AE$3,AB18*DAY(EOMONTH(DATE($B18,$N$2,1),0))*24*3600/$AE$2/10^6)</f>
        <v/>
      </c>
      <c r="O18" s="30">
        <f>SUM(C18:N18)</f>
        <v/>
      </c>
      <c r="Q18" t="n">
        <v>27.6</v>
      </c>
      <c r="R18" t="n">
        <v>19.9</v>
      </c>
      <c r="S18" t="n">
        <v>16.3</v>
      </c>
      <c r="T18" t="n">
        <v>19.7</v>
      </c>
      <c r="U18" t="n">
        <v>31.5</v>
      </c>
      <c r="V18" t="n">
        <v>105</v>
      </c>
      <c r="W18" t="n">
        <v>87.09999999999999</v>
      </c>
      <c r="X18" t="n">
        <v>241</v>
      </c>
      <c r="Y18" t="n">
        <v>225</v>
      </c>
      <c r="Z18" t="n">
        <v>292</v>
      </c>
      <c r="AA18" t="n">
        <v>173</v>
      </c>
      <c r="AB18" t="n">
        <v>92.7</v>
      </c>
    </row>
    <row r="19">
      <c r="B19" t="n">
        <v>1993</v>
      </c>
      <c r="C19" s="29">
        <f>IF(Q19*DAY(EOMONTH(DATE($B19,$C$2,1),0))*24*3600/$AE$2/10^6&gt;$AE$3,$AE$3,Q19*DAY(EOMONTH(DATE($B19,$C$2,1),0))*24*3600/$AE$2/10^6)</f>
        <v/>
      </c>
      <c r="D19" s="29">
        <f>IF(R19*DAY(EOMONTH(DATE($B19,$D$2,1),0))*24*3600/$AE$2/10^6&gt;$AE$3,$AE$3,R19*DAY(EOMONTH(DATE($B19,$D$2,1),0))*24*3600/$AE$2/10^6)</f>
        <v/>
      </c>
      <c r="E19" s="29">
        <f>IF(S19*DAY(EOMONTH(DATE($B19,$E$2,1),0))*24*3600/$AE$2/10^6&gt;$AE$3,$AE$3,S19*DAY(EOMONTH(DATE($B19,$E$2,1),0))*24*3600/$AE$2/10^6)</f>
        <v/>
      </c>
      <c r="F19" s="29">
        <f>IF(T19*DAY(EOMONTH(DATE($B19,$F$2,1),0))*24*3600/$AE$2/10^6&gt;$AE$3,$AE$3,T19*DAY(EOMONTH(DATE($B19,$F$2,1),0))*24*3600/$AE$2/10^6)</f>
        <v/>
      </c>
      <c r="G19" s="29">
        <f>IF(U19*DAY(EOMONTH(DATE($B19,$G$2,1),0))*24*3600/$AE$2/10^6&gt;$AE$3,$AE$3,U19*DAY(EOMONTH(DATE($B19,$G$2,1),0))*24*3600/$AE$2/10^6)</f>
        <v/>
      </c>
      <c r="H19" s="29">
        <f>IF(V19*DAY(EOMONTH(DATE($B19,$H$2,1),0))*24*3600/$AE$2/10^6&gt;$AE$3,$AE$3,V19*DAY(EOMONTH(DATE($B19,$H$2,1),0))*24*3600/$AE$2/10^6)</f>
        <v/>
      </c>
      <c r="I19" s="29">
        <f>IF(W19*DAY(EOMONTH(DATE($B19,$I$2,1),0))*24*3600/$AE$2/10^6&gt;$AE$3,$AE$3,W19*DAY(EOMONTH(DATE($B19,$I$2,1),0))*24*3600/$AE$2/10^6)</f>
        <v/>
      </c>
      <c r="J19" s="29">
        <f>IF(X19*DAY(EOMONTH(DATE($B19,$J$2,1),0))*24*3600/$AE$2/10^6&gt;$AE$3,$AE$3,X19*DAY(EOMONTH(DATE($B19,$J$2,1),0))*24*3600/$AE$2/10^6)</f>
        <v/>
      </c>
      <c r="K19" s="29">
        <f>IF(Y19*DAY(EOMONTH(DATE($B19,$K$2,1),0))*24*3600/$AE$2/10^6&gt;$AE$3,$AE$3,Y19*DAY(EOMONTH(DATE($B19,$K$2,1),0))*24*3600/$AE$2/10^6)</f>
        <v/>
      </c>
      <c r="L19" s="29">
        <f>IF(Z19*DAY(EOMONTH(DATE($B19,$L$2,1),0))*24*3600/$AE$2/10^6&gt;$AE$3,$AE$3,Z19*DAY(EOMONTH(DATE($B19,$L$2,1),0))*24*3600/$AE$2/10^6)</f>
        <v/>
      </c>
      <c r="M19" s="29">
        <f>IF(AA19*DAY(EOMONTH(DATE($B19,$M$2,1),0))*24*3600/$AE$2/10^6&gt;$AE$3,$AE$3,AA19*DAY(EOMONTH(DATE($B19,$M$2,1),0))*24*3600/$AE$2/10^6)</f>
        <v/>
      </c>
      <c r="N19" s="29">
        <f>IF(AB19*DAY(EOMONTH(DATE($B19,$N$2,1),0))*24*3600/$AE$2/10^6&gt;$AE$3,$AE$3,AB19*DAY(EOMONTH(DATE($B19,$N$2,1),0))*24*3600/$AE$2/10^6)</f>
        <v/>
      </c>
      <c r="O19" s="30">
        <f>SUM(C19:N19)</f>
        <v/>
      </c>
      <c r="Q19" t="n">
        <v>50.3</v>
      </c>
      <c r="R19" t="n">
        <v>35.9</v>
      </c>
      <c r="S19" t="n">
        <v>31.9</v>
      </c>
      <c r="T19" t="n">
        <v>26.9</v>
      </c>
      <c r="U19" t="n">
        <v>43.3</v>
      </c>
      <c r="V19" t="n">
        <v>50.4</v>
      </c>
      <c r="W19" t="n">
        <v>103</v>
      </c>
      <c r="X19" t="n">
        <v>115</v>
      </c>
      <c r="Y19" t="n">
        <v>137</v>
      </c>
      <c r="Z19" t="n">
        <v>316</v>
      </c>
      <c r="AA19" t="n">
        <v>133</v>
      </c>
      <c r="AB19" t="n">
        <v>186</v>
      </c>
    </row>
    <row r="20">
      <c r="B20" t="n">
        <v>1994</v>
      </c>
      <c r="C20" s="29">
        <f>IF(Q20*DAY(EOMONTH(DATE($B20,$C$2,1),0))*24*3600/$AE$2/10^6&gt;$AE$3,$AE$3,Q20*DAY(EOMONTH(DATE($B20,$C$2,1),0))*24*3600/$AE$2/10^6)</f>
        <v/>
      </c>
      <c r="D20" s="29">
        <f>IF(R20*DAY(EOMONTH(DATE($B20,$D$2,1),0))*24*3600/$AE$2/10^6&gt;$AE$3,$AE$3,R20*DAY(EOMONTH(DATE($B20,$D$2,1),0))*24*3600/$AE$2/10^6)</f>
        <v/>
      </c>
      <c r="E20" s="29">
        <f>IF(S20*DAY(EOMONTH(DATE($B20,$E$2,1),0))*24*3600/$AE$2/10^6&gt;$AE$3,$AE$3,S20*DAY(EOMONTH(DATE($B20,$E$2,1),0))*24*3600/$AE$2/10^6)</f>
        <v/>
      </c>
      <c r="F20" s="29">
        <f>IF(T20*DAY(EOMONTH(DATE($B20,$F$2,1),0))*24*3600/$AE$2/10^6&gt;$AE$3,$AE$3,T20*DAY(EOMONTH(DATE($B20,$F$2,1),0))*24*3600/$AE$2/10^6)</f>
        <v/>
      </c>
      <c r="G20" s="29">
        <f>IF(U20*DAY(EOMONTH(DATE($B20,$G$2,1),0))*24*3600/$AE$2/10^6&gt;$AE$3,$AE$3,U20*DAY(EOMONTH(DATE($B20,$G$2,1),0))*24*3600/$AE$2/10^6)</f>
        <v/>
      </c>
      <c r="H20" s="29">
        <f>IF(V20*DAY(EOMONTH(DATE($B20,$H$2,1),0))*24*3600/$AE$2/10^6&gt;$AE$3,$AE$3,V20*DAY(EOMONTH(DATE($B20,$H$2,1),0))*24*3600/$AE$2/10^6)</f>
        <v/>
      </c>
      <c r="I20" s="29">
        <f>IF(W20*DAY(EOMONTH(DATE($B20,$I$2,1),0))*24*3600/$AE$2/10^6&gt;$AE$3,$AE$3,W20*DAY(EOMONTH(DATE($B20,$I$2,1),0))*24*3600/$AE$2/10^6)</f>
        <v/>
      </c>
      <c r="J20" s="29">
        <f>IF(X20*DAY(EOMONTH(DATE($B20,$J$2,1),0))*24*3600/$AE$2/10^6&gt;$AE$3,$AE$3,X20*DAY(EOMONTH(DATE($B20,$J$2,1),0))*24*3600/$AE$2/10^6)</f>
        <v/>
      </c>
      <c r="K20" s="29">
        <f>IF(Y20*DAY(EOMONTH(DATE($B20,$K$2,1),0))*24*3600/$AE$2/10^6&gt;$AE$3,$AE$3,Y20*DAY(EOMONTH(DATE($B20,$K$2,1),0))*24*3600/$AE$2/10^6)</f>
        <v/>
      </c>
      <c r="L20" s="29">
        <f>IF(Z20*DAY(EOMONTH(DATE($B20,$L$2,1),0))*24*3600/$AE$2/10^6&gt;$AE$3,$AE$3,Z20*DAY(EOMONTH(DATE($B20,$L$2,1),0))*24*3600/$AE$2/10^6)</f>
        <v/>
      </c>
      <c r="M20" s="29">
        <f>IF(AA20*DAY(EOMONTH(DATE($B20,$M$2,1),0))*24*3600/$AE$2/10^6&gt;$AE$3,$AE$3,AA20*DAY(EOMONTH(DATE($B20,$M$2,1),0))*24*3600/$AE$2/10^6)</f>
        <v/>
      </c>
      <c r="N20" s="29">
        <f>IF(AB20*DAY(EOMONTH(DATE($B20,$N$2,1),0))*24*3600/$AE$2/10^6&gt;$AE$3,$AE$3,AB20*DAY(EOMONTH(DATE($B20,$N$2,1),0))*24*3600/$AE$2/10^6)</f>
        <v/>
      </c>
      <c r="O20" s="30">
        <f>SUM(C20:N20)</f>
        <v/>
      </c>
      <c r="Q20" t="n">
        <v>65.5</v>
      </c>
      <c r="R20" t="n">
        <v>43.9</v>
      </c>
      <c r="S20" t="n">
        <v>32.7</v>
      </c>
      <c r="T20" t="n">
        <v>32.9</v>
      </c>
      <c r="U20" t="n">
        <v>41.6</v>
      </c>
      <c r="V20" t="n">
        <v>55.2</v>
      </c>
      <c r="W20" t="n">
        <v>121</v>
      </c>
      <c r="X20" t="n">
        <v>124</v>
      </c>
      <c r="Y20" t="n">
        <v>201</v>
      </c>
      <c r="Z20" t="n">
        <v>174</v>
      </c>
      <c r="AA20" t="n">
        <v>76.7</v>
      </c>
      <c r="AB20" t="n">
        <v>50</v>
      </c>
    </row>
    <row r="21">
      <c r="B21" t="n">
        <v>1995</v>
      </c>
      <c r="C21" s="29">
        <f>IF(Q21*DAY(EOMONTH(DATE($B21,$C$2,1),0))*24*3600/$AE$2/10^6&gt;$AE$3,$AE$3,Q21*DAY(EOMONTH(DATE($B21,$C$2,1),0))*24*3600/$AE$2/10^6)</f>
        <v/>
      </c>
      <c r="D21" s="29">
        <f>IF(R21*DAY(EOMONTH(DATE($B21,$D$2,1),0))*24*3600/$AE$2/10^6&gt;$AE$3,$AE$3,R21*DAY(EOMONTH(DATE($B21,$D$2,1),0))*24*3600/$AE$2/10^6)</f>
        <v/>
      </c>
      <c r="E21" s="29">
        <f>IF(S21*DAY(EOMONTH(DATE($B21,$E$2,1),0))*24*3600/$AE$2/10^6&gt;$AE$3,$AE$3,S21*DAY(EOMONTH(DATE($B21,$E$2,1),0))*24*3600/$AE$2/10^6)</f>
        <v/>
      </c>
      <c r="F21" s="29">
        <f>IF(T21*DAY(EOMONTH(DATE($B21,$F$2,1),0))*24*3600/$AE$2/10^6&gt;$AE$3,$AE$3,T21*DAY(EOMONTH(DATE($B21,$F$2,1),0))*24*3600/$AE$2/10^6)</f>
        <v/>
      </c>
      <c r="G21" s="29">
        <f>IF(U21*DAY(EOMONTH(DATE($B21,$G$2,1),0))*24*3600/$AE$2/10^6&gt;$AE$3,$AE$3,U21*DAY(EOMONTH(DATE($B21,$G$2,1),0))*24*3600/$AE$2/10^6)</f>
        <v/>
      </c>
      <c r="H21" s="29">
        <f>IF(V21*DAY(EOMONTH(DATE($B21,$H$2,1),0))*24*3600/$AE$2/10^6&gt;$AE$3,$AE$3,V21*DAY(EOMONTH(DATE($B21,$H$2,1),0))*24*3600/$AE$2/10^6)</f>
        <v/>
      </c>
      <c r="I21" s="29">
        <f>IF(W21*DAY(EOMONTH(DATE($B21,$I$2,1),0))*24*3600/$AE$2/10^6&gt;$AE$3,$AE$3,W21*DAY(EOMONTH(DATE($B21,$I$2,1),0))*24*3600/$AE$2/10^6)</f>
        <v/>
      </c>
      <c r="J21" s="29">
        <f>IF(X21*DAY(EOMONTH(DATE($B21,$J$2,1),0))*24*3600/$AE$2/10^6&gt;$AE$3,$AE$3,X21*DAY(EOMONTH(DATE($B21,$J$2,1),0))*24*3600/$AE$2/10^6)</f>
        <v/>
      </c>
      <c r="K21" s="29">
        <f>IF(Y21*DAY(EOMONTH(DATE($B21,$K$2,1),0))*24*3600/$AE$2/10^6&gt;$AE$3,$AE$3,Y21*DAY(EOMONTH(DATE($B21,$K$2,1),0))*24*3600/$AE$2/10^6)</f>
        <v/>
      </c>
      <c r="L21" s="29">
        <f>IF(Z21*DAY(EOMONTH(DATE($B21,$L$2,1),0))*24*3600/$AE$2/10^6&gt;$AE$3,$AE$3,Z21*DAY(EOMONTH(DATE($B21,$L$2,1),0))*24*3600/$AE$2/10^6)</f>
        <v/>
      </c>
      <c r="M21" s="29">
        <f>IF(AA21*DAY(EOMONTH(DATE($B21,$M$2,1),0))*24*3600/$AE$2/10^6&gt;$AE$3,$AE$3,AA21*DAY(EOMONTH(DATE($B21,$M$2,1),0))*24*3600/$AE$2/10^6)</f>
        <v/>
      </c>
      <c r="N21" s="29">
        <f>IF(AB21*DAY(EOMONTH(DATE($B21,$N$2,1),0))*24*3600/$AE$2/10^6&gt;$AE$3,$AE$3,AB21*DAY(EOMONTH(DATE($B21,$N$2,1),0))*24*3600/$AE$2/10^6)</f>
        <v/>
      </c>
      <c r="O21" s="30">
        <f>SUM(C21:N21)</f>
        <v/>
      </c>
      <c r="Q21" t="n">
        <v>33.4</v>
      </c>
      <c r="R21" t="n">
        <v>25.7</v>
      </c>
      <c r="S21" t="n">
        <v>21.7</v>
      </c>
      <c r="T21" t="n">
        <v>18.9</v>
      </c>
      <c r="U21" t="n">
        <v>25.5</v>
      </c>
      <c r="V21" t="n">
        <v>31.7</v>
      </c>
      <c r="W21" t="n">
        <v>59.5</v>
      </c>
      <c r="X21" t="n">
        <v>62.9</v>
      </c>
      <c r="Y21" t="n">
        <v>138</v>
      </c>
      <c r="Z21" t="n">
        <v>165</v>
      </c>
      <c r="AA21" t="n">
        <v>73.40000000000001</v>
      </c>
      <c r="AB21" t="n">
        <v>64.7</v>
      </c>
    </row>
    <row r="22">
      <c r="B22" t="n">
        <v>1996</v>
      </c>
      <c r="C22" s="29">
        <f>IF(Q22*DAY(EOMONTH(DATE($B22,$C$2,1),0))*24*3600/$AE$2/10^6&gt;$AE$3,$AE$3,Q22*DAY(EOMONTH(DATE($B22,$C$2,1),0))*24*3600/$AE$2/10^6)</f>
        <v/>
      </c>
      <c r="D22" s="29">
        <f>IF(R22*DAY(EOMONTH(DATE($B22,$D$2,1),0))*24*3600/$AE$2/10^6&gt;$AE$3,$AE$3,R22*DAY(EOMONTH(DATE($B22,$D$2,1),0))*24*3600/$AE$2/10^6)</f>
        <v/>
      </c>
      <c r="E22" s="29">
        <f>IF(S22*DAY(EOMONTH(DATE($B22,$E$2,1),0))*24*3600/$AE$2/10^6&gt;$AE$3,$AE$3,S22*DAY(EOMONTH(DATE($B22,$E$2,1),0))*24*3600/$AE$2/10^6)</f>
        <v/>
      </c>
      <c r="F22" s="29">
        <f>IF(T22*DAY(EOMONTH(DATE($B22,$F$2,1),0))*24*3600/$AE$2/10^6&gt;$AE$3,$AE$3,T22*DAY(EOMONTH(DATE($B22,$F$2,1),0))*24*3600/$AE$2/10^6)</f>
        <v/>
      </c>
      <c r="G22" s="29">
        <f>IF(U22*DAY(EOMONTH(DATE($B22,$G$2,1),0))*24*3600/$AE$2/10^6&gt;$AE$3,$AE$3,U22*DAY(EOMONTH(DATE($B22,$G$2,1),0))*24*3600/$AE$2/10^6)</f>
        <v/>
      </c>
      <c r="H22" s="29">
        <f>IF(V22*DAY(EOMONTH(DATE($B22,$H$2,1),0))*24*3600/$AE$2/10^6&gt;$AE$3,$AE$3,V22*DAY(EOMONTH(DATE($B22,$H$2,1),0))*24*3600/$AE$2/10^6)</f>
        <v/>
      </c>
      <c r="I22" s="29">
        <f>IF(W22*DAY(EOMONTH(DATE($B22,$I$2,1),0))*24*3600/$AE$2/10^6&gt;$AE$3,$AE$3,W22*DAY(EOMONTH(DATE($B22,$I$2,1),0))*24*3600/$AE$2/10^6)</f>
        <v/>
      </c>
      <c r="J22" s="29">
        <f>IF(X22*DAY(EOMONTH(DATE($B22,$J$2,1),0))*24*3600/$AE$2/10^6&gt;$AE$3,$AE$3,X22*DAY(EOMONTH(DATE($B22,$J$2,1),0))*24*3600/$AE$2/10^6)</f>
        <v/>
      </c>
      <c r="K22" s="29">
        <f>IF(Y22*DAY(EOMONTH(DATE($B22,$K$2,1),0))*24*3600/$AE$2/10^6&gt;$AE$3,$AE$3,Y22*DAY(EOMONTH(DATE($B22,$K$2,1),0))*24*3600/$AE$2/10^6)</f>
        <v/>
      </c>
      <c r="L22" s="29">
        <f>IF(Z22*DAY(EOMONTH(DATE($B22,$L$2,1),0))*24*3600/$AE$2/10^6&gt;$AE$3,$AE$3,Z22*DAY(EOMONTH(DATE($B22,$L$2,1),0))*24*3600/$AE$2/10^6)</f>
        <v/>
      </c>
      <c r="M22" s="29">
        <f>IF(AA22*DAY(EOMONTH(DATE($B22,$M$2,1),0))*24*3600/$AE$2/10^6&gt;$AE$3,$AE$3,AA22*DAY(EOMONTH(DATE($B22,$M$2,1),0))*24*3600/$AE$2/10^6)</f>
        <v/>
      </c>
      <c r="N22" s="29">
        <f>IF(AB22*DAY(EOMONTH(DATE($B22,$N$2,1),0))*24*3600/$AE$2/10^6&gt;$AE$3,$AE$3,AB22*DAY(EOMONTH(DATE($B22,$N$2,1),0))*24*3600/$AE$2/10^6)</f>
        <v/>
      </c>
      <c r="O22" s="30">
        <f>SUM(C22:N22)</f>
        <v/>
      </c>
      <c r="Q22" t="n">
        <v>47</v>
      </c>
      <c r="R22" t="n">
        <v>31.7</v>
      </c>
      <c r="S22" t="n">
        <v>25.9</v>
      </c>
      <c r="T22" t="n">
        <v>31.1</v>
      </c>
      <c r="U22" t="n">
        <v>67.2</v>
      </c>
      <c r="V22" t="n">
        <v>94.90000000000001</v>
      </c>
      <c r="W22" t="n">
        <v>125</v>
      </c>
      <c r="X22" t="n">
        <v>161</v>
      </c>
      <c r="Y22" t="n">
        <v>249</v>
      </c>
      <c r="Z22" t="n">
        <v>348</v>
      </c>
      <c r="AA22" t="n">
        <v>267</v>
      </c>
      <c r="AB22" t="n">
        <v>189</v>
      </c>
    </row>
    <row r="23">
      <c r="B23" t="n">
        <v>1997</v>
      </c>
      <c r="C23" s="29">
        <f>IF(Q23*DAY(EOMONTH(DATE($B23,$C$2,1),0))*24*3600/$AE$2/10^6&gt;$AE$3,$AE$3,Q23*DAY(EOMONTH(DATE($B23,$C$2,1),0))*24*3600/$AE$2/10^6)</f>
        <v/>
      </c>
      <c r="D23" s="29">
        <f>IF(R23*DAY(EOMONTH(DATE($B23,$D$2,1),0))*24*3600/$AE$2/10^6&gt;$AE$3,$AE$3,R23*DAY(EOMONTH(DATE($B23,$D$2,1),0))*24*3600/$AE$2/10^6)</f>
        <v/>
      </c>
      <c r="E23" s="29">
        <f>IF(S23*DAY(EOMONTH(DATE($B23,$E$2,1),0))*24*3600/$AE$2/10^6&gt;$AE$3,$AE$3,S23*DAY(EOMONTH(DATE($B23,$E$2,1),0))*24*3600/$AE$2/10^6)</f>
        <v/>
      </c>
      <c r="F23" s="29">
        <f>IF(T23*DAY(EOMONTH(DATE($B23,$F$2,1),0))*24*3600/$AE$2/10^6&gt;$AE$3,$AE$3,T23*DAY(EOMONTH(DATE($B23,$F$2,1),0))*24*3600/$AE$2/10^6)</f>
        <v/>
      </c>
      <c r="G23" s="29">
        <f>IF(U23*DAY(EOMONTH(DATE($B23,$G$2,1),0))*24*3600/$AE$2/10^6&gt;$AE$3,$AE$3,U23*DAY(EOMONTH(DATE($B23,$G$2,1),0))*24*3600/$AE$2/10^6)</f>
        <v/>
      </c>
      <c r="H23" s="29">
        <f>IF(V23*DAY(EOMONTH(DATE($B23,$H$2,1),0))*24*3600/$AE$2/10^6&gt;$AE$3,$AE$3,V23*DAY(EOMONTH(DATE($B23,$H$2,1),0))*24*3600/$AE$2/10^6)</f>
        <v/>
      </c>
      <c r="I23" s="29">
        <f>IF(W23*DAY(EOMONTH(DATE($B23,$I$2,1),0))*24*3600/$AE$2/10^6&gt;$AE$3,$AE$3,W23*DAY(EOMONTH(DATE($B23,$I$2,1),0))*24*3600/$AE$2/10^6)</f>
        <v/>
      </c>
      <c r="J23" s="29">
        <f>IF(X23*DAY(EOMONTH(DATE($B23,$J$2,1),0))*24*3600/$AE$2/10^6&gt;$AE$3,$AE$3,X23*DAY(EOMONTH(DATE($B23,$J$2,1),0))*24*3600/$AE$2/10^6)</f>
        <v/>
      </c>
      <c r="K23" s="29">
        <f>IF(Y23*DAY(EOMONTH(DATE($B23,$K$2,1),0))*24*3600/$AE$2/10^6&gt;$AE$3,$AE$3,Y23*DAY(EOMONTH(DATE($B23,$K$2,1),0))*24*3600/$AE$2/10^6)</f>
        <v/>
      </c>
      <c r="L23" s="29">
        <f>IF(Z23*DAY(EOMONTH(DATE($B23,$L$2,1),0))*24*3600/$AE$2/10^6&gt;$AE$3,$AE$3,Z23*DAY(EOMONTH(DATE($B23,$L$2,1),0))*24*3600/$AE$2/10^6)</f>
        <v/>
      </c>
      <c r="M23" s="29">
        <f>IF(AA23*DAY(EOMONTH(DATE($B23,$M$2,1),0))*24*3600/$AE$2/10^6&gt;$AE$3,$AE$3,AA23*DAY(EOMONTH(DATE($B23,$M$2,1),0))*24*3600/$AE$2/10^6)</f>
        <v/>
      </c>
      <c r="N23" s="29">
        <f>IF(AB23*DAY(EOMONTH(DATE($B23,$N$2,1),0))*24*3600/$AE$2/10^6&gt;$AE$3,$AE$3,AB23*DAY(EOMONTH(DATE($B23,$N$2,1),0))*24*3600/$AE$2/10^6)</f>
        <v/>
      </c>
      <c r="O23" s="30">
        <f>SUM(C23:N23)</f>
        <v/>
      </c>
      <c r="Q23" t="n">
        <v>78.40000000000001</v>
      </c>
      <c r="R23" t="n">
        <v>56.2</v>
      </c>
      <c r="S23" t="n">
        <v>39.4</v>
      </c>
      <c r="T23" t="n">
        <v>42.5</v>
      </c>
      <c r="U23" t="n">
        <v>56.4</v>
      </c>
      <c r="V23" t="n">
        <v>52.5</v>
      </c>
      <c r="W23" t="n">
        <v>144</v>
      </c>
      <c r="X23" t="n">
        <v>221</v>
      </c>
      <c r="Y23" t="n">
        <v>211</v>
      </c>
      <c r="Z23" t="n">
        <v>165</v>
      </c>
      <c r="AA23" t="n">
        <v>106</v>
      </c>
      <c r="AB23" t="n">
        <v>50.8</v>
      </c>
    </row>
    <row r="24">
      <c r="B24" t="n">
        <v>1998</v>
      </c>
      <c r="C24" s="29">
        <f>IF(Q24*DAY(EOMONTH(DATE($B24,$C$2,1),0))*24*3600/$AE$2/10^6&gt;$AE$3,$AE$3,Q24*DAY(EOMONTH(DATE($B24,$C$2,1),0))*24*3600/$AE$2/10^6)</f>
        <v/>
      </c>
      <c r="D24" s="29">
        <f>IF(R24*DAY(EOMONTH(DATE($B24,$D$2,1),0))*24*3600/$AE$2/10^6&gt;$AE$3,$AE$3,R24*DAY(EOMONTH(DATE($B24,$D$2,1),0))*24*3600/$AE$2/10^6)</f>
        <v/>
      </c>
      <c r="E24" s="29">
        <f>IF(S24*DAY(EOMONTH(DATE($B24,$E$2,1),0))*24*3600/$AE$2/10^6&gt;$AE$3,$AE$3,S24*DAY(EOMONTH(DATE($B24,$E$2,1),0))*24*3600/$AE$2/10^6)</f>
        <v/>
      </c>
      <c r="F24" s="29">
        <f>IF(T24*DAY(EOMONTH(DATE($B24,$F$2,1),0))*24*3600/$AE$2/10^6&gt;$AE$3,$AE$3,T24*DAY(EOMONTH(DATE($B24,$F$2,1),0))*24*3600/$AE$2/10^6)</f>
        <v/>
      </c>
      <c r="G24" s="29">
        <f>IF(U24*DAY(EOMONTH(DATE($B24,$G$2,1),0))*24*3600/$AE$2/10^6&gt;$AE$3,$AE$3,U24*DAY(EOMONTH(DATE($B24,$G$2,1),0))*24*3600/$AE$2/10^6)</f>
        <v/>
      </c>
      <c r="H24" s="29">
        <f>IF(V24*DAY(EOMONTH(DATE($B24,$H$2,1),0))*24*3600/$AE$2/10^6&gt;$AE$3,$AE$3,V24*DAY(EOMONTH(DATE($B24,$H$2,1),0))*24*3600/$AE$2/10^6)</f>
        <v/>
      </c>
      <c r="I24" s="29">
        <f>IF(W24*DAY(EOMONTH(DATE($B24,$I$2,1),0))*24*3600/$AE$2/10^6&gt;$AE$3,$AE$3,W24*DAY(EOMONTH(DATE($B24,$I$2,1),0))*24*3600/$AE$2/10^6)</f>
        <v/>
      </c>
      <c r="J24" s="29">
        <f>IF(X24*DAY(EOMONTH(DATE($B24,$J$2,1),0))*24*3600/$AE$2/10^6&gt;$AE$3,$AE$3,X24*DAY(EOMONTH(DATE($B24,$J$2,1),0))*24*3600/$AE$2/10^6)</f>
        <v/>
      </c>
      <c r="K24" s="29">
        <f>IF(Y24*DAY(EOMONTH(DATE($B24,$K$2,1),0))*24*3600/$AE$2/10^6&gt;$AE$3,$AE$3,Y24*DAY(EOMONTH(DATE($B24,$K$2,1),0))*24*3600/$AE$2/10^6)</f>
        <v/>
      </c>
      <c r="L24" s="29">
        <f>IF(Z24*DAY(EOMONTH(DATE($B24,$L$2,1),0))*24*3600/$AE$2/10^6&gt;$AE$3,$AE$3,Z24*DAY(EOMONTH(DATE($B24,$L$2,1),0))*24*3600/$AE$2/10^6)</f>
        <v/>
      </c>
      <c r="M24" s="29">
        <f>IF(AA24*DAY(EOMONTH(DATE($B24,$M$2,1),0))*24*3600/$AE$2/10^6&gt;$AE$3,$AE$3,AA24*DAY(EOMONTH(DATE($B24,$M$2,1),0))*24*3600/$AE$2/10^6)</f>
        <v/>
      </c>
      <c r="N24" s="29">
        <f>IF(AB24*DAY(EOMONTH(DATE($B24,$N$2,1),0))*24*3600/$AE$2/10^6&gt;$AE$3,$AE$3,AB24*DAY(EOMONTH(DATE($B24,$N$2,1),0))*24*3600/$AE$2/10^6)</f>
        <v/>
      </c>
      <c r="O24" s="30">
        <f>SUM(C24:N24)</f>
        <v/>
      </c>
      <c r="Q24" t="n">
        <v>40.1</v>
      </c>
      <c r="R24" t="n">
        <v>30.3</v>
      </c>
      <c r="S24" t="n">
        <v>21.7</v>
      </c>
      <c r="T24" t="n">
        <v>21</v>
      </c>
      <c r="U24" t="n">
        <v>38</v>
      </c>
      <c r="V24" t="n">
        <v>31.1</v>
      </c>
      <c r="W24" t="n">
        <v>50.6</v>
      </c>
      <c r="X24" t="n">
        <v>69.8</v>
      </c>
      <c r="Y24" t="n">
        <v>82.7</v>
      </c>
      <c r="Z24" t="n">
        <v>179</v>
      </c>
      <c r="AA24" t="n">
        <v>312</v>
      </c>
      <c r="AB24" t="n">
        <v>265</v>
      </c>
    </row>
    <row r="25">
      <c r="B25" t="n">
        <v>1999</v>
      </c>
      <c r="C25" s="29">
        <f>IF(Q25*DAY(EOMONTH(DATE($B25,$C$2,1),0))*24*3600/$AE$2/10^6&gt;$AE$3,$AE$3,Q25*DAY(EOMONTH(DATE($B25,$C$2,1),0))*24*3600/$AE$2/10^6)</f>
        <v/>
      </c>
      <c r="D25" s="29">
        <f>IF(R25*DAY(EOMONTH(DATE($B25,$D$2,1),0))*24*3600/$AE$2/10^6&gt;$AE$3,$AE$3,R25*DAY(EOMONTH(DATE($B25,$D$2,1),0))*24*3600/$AE$2/10^6)</f>
        <v/>
      </c>
      <c r="E25" s="29">
        <f>IF(S25*DAY(EOMONTH(DATE($B25,$E$2,1),0))*24*3600/$AE$2/10^6&gt;$AE$3,$AE$3,S25*DAY(EOMONTH(DATE($B25,$E$2,1),0))*24*3600/$AE$2/10^6)</f>
        <v/>
      </c>
      <c r="F25" s="29">
        <f>IF(T25*DAY(EOMONTH(DATE($B25,$F$2,1),0))*24*3600/$AE$2/10^6&gt;$AE$3,$AE$3,T25*DAY(EOMONTH(DATE($B25,$F$2,1),0))*24*3600/$AE$2/10^6)</f>
        <v/>
      </c>
      <c r="G25" s="29">
        <f>IF(U25*DAY(EOMONTH(DATE($B25,$G$2,1),0))*24*3600/$AE$2/10^6&gt;$AE$3,$AE$3,U25*DAY(EOMONTH(DATE($B25,$G$2,1),0))*24*3600/$AE$2/10^6)</f>
        <v/>
      </c>
      <c r="H25" s="29">
        <f>IF(V25*DAY(EOMONTH(DATE($B25,$H$2,1),0))*24*3600/$AE$2/10^6&gt;$AE$3,$AE$3,V25*DAY(EOMONTH(DATE($B25,$H$2,1),0))*24*3600/$AE$2/10^6)</f>
        <v/>
      </c>
      <c r="I25" s="29">
        <f>IF(W25*DAY(EOMONTH(DATE($B25,$I$2,1),0))*24*3600/$AE$2/10^6&gt;$AE$3,$AE$3,W25*DAY(EOMONTH(DATE($B25,$I$2,1),0))*24*3600/$AE$2/10^6)</f>
        <v/>
      </c>
      <c r="J25" s="29">
        <f>IF(X25*DAY(EOMONTH(DATE($B25,$J$2,1),0))*24*3600/$AE$2/10^6&gt;$AE$3,$AE$3,X25*DAY(EOMONTH(DATE($B25,$J$2,1),0))*24*3600/$AE$2/10^6)</f>
        <v/>
      </c>
      <c r="K25" s="29">
        <f>IF(Y25*DAY(EOMONTH(DATE($B25,$K$2,1),0))*24*3600/$AE$2/10^6&gt;$AE$3,$AE$3,Y25*DAY(EOMONTH(DATE($B25,$K$2,1),0))*24*3600/$AE$2/10^6)</f>
        <v/>
      </c>
      <c r="L25" s="29">
        <f>IF(Z25*DAY(EOMONTH(DATE($B25,$L$2,1),0))*24*3600/$AE$2/10^6&gt;$AE$3,$AE$3,Z25*DAY(EOMONTH(DATE($B25,$L$2,1),0))*24*3600/$AE$2/10^6)</f>
        <v/>
      </c>
      <c r="M25" s="29">
        <f>IF(AA25*DAY(EOMONTH(DATE($B25,$M$2,1),0))*24*3600/$AE$2/10^6&gt;$AE$3,$AE$3,AA25*DAY(EOMONTH(DATE($B25,$M$2,1),0))*24*3600/$AE$2/10^6)</f>
        <v/>
      </c>
      <c r="N25" s="29">
        <f>IF(AB25*DAY(EOMONTH(DATE($B25,$N$2,1),0))*24*3600/$AE$2/10^6&gt;$AE$3,$AE$3,AB25*DAY(EOMONTH(DATE($B25,$N$2,1),0))*24*3600/$AE$2/10^6)</f>
        <v/>
      </c>
      <c r="O25" s="30">
        <f>SUM(C25:N25)</f>
        <v/>
      </c>
      <c r="Q25" t="n">
        <v>136</v>
      </c>
      <c r="R25" t="n">
        <v>77.7</v>
      </c>
      <c r="S25" t="n">
        <v>61.9</v>
      </c>
      <c r="T25" t="n">
        <v>70.40000000000001</v>
      </c>
      <c r="U25" t="n">
        <v>149</v>
      </c>
      <c r="V25" t="n">
        <v>223</v>
      </c>
      <c r="W25" t="n">
        <v>180</v>
      </c>
      <c r="X25" t="n">
        <v>271</v>
      </c>
      <c r="Y25" t="n">
        <v>180</v>
      </c>
      <c r="Z25" t="n">
        <v>204</v>
      </c>
      <c r="AA25" t="n">
        <v>186</v>
      </c>
      <c r="AB25" t="n">
        <v>166</v>
      </c>
    </row>
    <row r="26">
      <c r="B26" t="n">
        <v>2000</v>
      </c>
      <c r="C26" s="29">
        <f>IF(Q26*DAY(EOMONTH(DATE($B26,$C$2,1),0))*24*3600/$AE$2/10^6&gt;$AE$3,$AE$3,Q26*DAY(EOMONTH(DATE($B26,$C$2,1),0))*24*3600/$AE$2/10^6)</f>
        <v/>
      </c>
      <c r="D26" s="29">
        <f>IF(R26*DAY(EOMONTH(DATE($B26,$D$2,1),0))*24*3600/$AE$2/10^6&gt;$AE$3,$AE$3,R26*DAY(EOMONTH(DATE($B26,$D$2,1),0))*24*3600/$AE$2/10^6)</f>
        <v/>
      </c>
      <c r="E26" s="29">
        <f>IF(S26*DAY(EOMONTH(DATE($B26,$E$2,1),0))*24*3600/$AE$2/10^6&gt;$AE$3,$AE$3,S26*DAY(EOMONTH(DATE($B26,$E$2,1),0))*24*3600/$AE$2/10^6)</f>
        <v/>
      </c>
      <c r="F26" s="29">
        <f>IF(T26*DAY(EOMONTH(DATE($B26,$F$2,1),0))*24*3600/$AE$2/10^6&gt;$AE$3,$AE$3,T26*DAY(EOMONTH(DATE($B26,$F$2,1),0))*24*3600/$AE$2/10^6)</f>
        <v/>
      </c>
      <c r="G26" s="29">
        <f>IF(U26*DAY(EOMONTH(DATE($B26,$G$2,1),0))*24*3600/$AE$2/10^6&gt;$AE$3,$AE$3,U26*DAY(EOMONTH(DATE($B26,$G$2,1),0))*24*3600/$AE$2/10^6)</f>
        <v/>
      </c>
      <c r="H26" s="29">
        <f>IF(V26*DAY(EOMONTH(DATE($B26,$H$2,1),0))*24*3600/$AE$2/10^6&gt;$AE$3,$AE$3,V26*DAY(EOMONTH(DATE($B26,$H$2,1),0))*24*3600/$AE$2/10^6)</f>
        <v/>
      </c>
      <c r="I26" s="29">
        <f>IF(W26*DAY(EOMONTH(DATE($B26,$I$2,1),0))*24*3600/$AE$2/10^6&gt;$AE$3,$AE$3,W26*DAY(EOMONTH(DATE($B26,$I$2,1),0))*24*3600/$AE$2/10^6)</f>
        <v/>
      </c>
      <c r="J26" s="29">
        <f>IF(X26*DAY(EOMONTH(DATE($B26,$J$2,1),0))*24*3600/$AE$2/10^6&gt;$AE$3,$AE$3,X26*DAY(EOMONTH(DATE($B26,$J$2,1),0))*24*3600/$AE$2/10^6)</f>
        <v/>
      </c>
      <c r="K26" s="29">
        <f>IF(Y26*DAY(EOMONTH(DATE($B26,$K$2,1),0))*24*3600/$AE$2/10^6&gt;$AE$3,$AE$3,Y26*DAY(EOMONTH(DATE($B26,$K$2,1),0))*24*3600/$AE$2/10^6)</f>
        <v/>
      </c>
      <c r="L26" s="29">
        <f>IF(Z26*DAY(EOMONTH(DATE($B26,$L$2,1),0))*24*3600/$AE$2/10^6&gt;$AE$3,$AE$3,Z26*DAY(EOMONTH(DATE($B26,$L$2,1),0))*24*3600/$AE$2/10^6)</f>
        <v/>
      </c>
      <c r="M26" s="29">
        <f>IF(AA26*DAY(EOMONTH(DATE($B26,$M$2,1),0))*24*3600/$AE$2/10^6&gt;$AE$3,$AE$3,AA26*DAY(EOMONTH(DATE($B26,$M$2,1),0))*24*3600/$AE$2/10^6)</f>
        <v/>
      </c>
      <c r="N26" s="29">
        <f>IF(AB26*DAY(EOMONTH(DATE($B26,$N$2,1),0))*24*3600/$AE$2/10^6&gt;$AE$3,$AE$3,AB26*DAY(EOMONTH(DATE($B26,$N$2,1),0))*24*3600/$AE$2/10^6)</f>
        <v/>
      </c>
      <c r="O26" s="30">
        <f>SUM(C26:N26)</f>
        <v/>
      </c>
      <c r="Q26" t="n">
        <v>70.8</v>
      </c>
      <c r="R26" t="n">
        <v>51.4</v>
      </c>
      <c r="S26" t="n">
        <v>41.5</v>
      </c>
      <c r="T26" t="n">
        <v>46.6</v>
      </c>
      <c r="U26" t="n">
        <v>52.1</v>
      </c>
      <c r="V26" t="n">
        <v>84.3</v>
      </c>
      <c r="W26" t="n">
        <v>145</v>
      </c>
      <c r="X26" t="n">
        <v>147</v>
      </c>
      <c r="Y26" t="n">
        <v>289</v>
      </c>
      <c r="Z26" t="n">
        <v>688</v>
      </c>
      <c r="AA26" t="n">
        <v>288</v>
      </c>
      <c r="AB26" t="n">
        <v>211</v>
      </c>
    </row>
    <row r="27">
      <c r="B27" t="n">
        <v>2001</v>
      </c>
      <c r="C27" s="29">
        <f>IF(Q27*DAY(EOMONTH(DATE($B27,$C$2,1),0))*24*3600/$AE$2/10^6&gt;$AE$3,$AE$3,Q27*DAY(EOMONTH(DATE($B27,$C$2,1),0))*24*3600/$AE$2/10^6)</f>
        <v/>
      </c>
      <c r="D27" s="29">
        <f>IF(R27*DAY(EOMONTH(DATE($B27,$D$2,1),0))*24*3600/$AE$2/10^6&gt;$AE$3,$AE$3,R27*DAY(EOMONTH(DATE($B27,$D$2,1),0))*24*3600/$AE$2/10^6)</f>
        <v/>
      </c>
      <c r="E27" s="29">
        <f>IF(S27*DAY(EOMONTH(DATE($B27,$E$2,1),0))*24*3600/$AE$2/10^6&gt;$AE$3,$AE$3,S27*DAY(EOMONTH(DATE($B27,$E$2,1),0))*24*3600/$AE$2/10^6)</f>
        <v/>
      </c>
      <c r="F27" s="29">
        <f>IF(T27*DAY(EOMONTH(DATE($B27,$F$2,1),0))*24*3600/$AE$2/10^6&gt;$AE$3,$AE$3,T27*DAY(EOMONTH(DATE($B27,$F$2,1),0))*24*3600/$AE$2/10^6)</f>
        <v/>
      </c>
      <c r="G27" s="29">
        <f>IF(U27*DAY(EOMONTH(DATE($B27,$G$2,1),0))*24*3600/$AE$2/10^6&gt;$AE$3,$AE$3,U27*DAY(EOMONTH(DATE($B27,$G$2,1),0))*24*3600/$AE$2/10^6)</f>
        <v/>
      </c>
      <c r="H27" s="29">
        <f>IF(V27*DAY(EOMONTH(DATE($B27,$H$2,1),0))*24*3600/$AE$2/10^6&gt;$AE$3,$AE$3,V27*DAY(EOMONTH(DATE($B27,$H$2,1),0))*24*3600/$AE$2/10^6)</f>
        <v/>
      </c>
      <c r="I27" s="29">
        <f>IF(W27*DAY(EOMONTH(DATE($B27,$I$2,1),0))*24*3600/$AE$2/10^6&gt;$AE$3,$AE$3,W27*DAY(EOMONTH(DATE($B27,$I$2,1),0))*24*3600/$AE$2/10^6)</f>
        <v/>
      </c>
      <c r="J27" s="29">
        <f>IF(X27*DAY(EOMONTH(DATE($B27,$J$2,1),0))*24*3600/$AE$2/10^6&gt;$AE$3,$AE$3,X27*DAY(EOMONTH(DATE($B27,$J$2,1),0))*24*3600/$AE$2/10^6)</f>
        <v/>
      </c>
      <c r="K27" s="29">
        <f>IF(Y27*DAY(EOMONTH(DATE($B27,$K$2,1),0))*24*3600/$AE$2/10^6&gt;$AE$3,$AE$3,Y27*DAY(EOMONTH(DATE($B27,$K$2,1),0))*24*3600/$AE$2/10^6)</f>
        <v/>
      </c>
      <c r="L27" s="29">
        <f>IF(Z27*DAY(EOMONTH(DATE($B27,$L$2,1),0))*24*3600/$AE$2/10^6&gt;$AE$3,$AE$3,Z27*DAY(EOMONTH(DATE($B27,$L$2,1),0))*24*3600/$AE$2/10^6)</f>
        <v/>
      </c>
      <c r="M27" s="29">
        <f>IF(AA27*DAY(EOMONTH(DATE($B27,$M$2,1),0))*24*3600/$AE$2/10^6&gt;$AE$3,$AE$3,AA27*DAY(EOMONTH(DATE($B27,$M$2,1),0))*24*3600/$AE$2/10^6)</f>
        <v/>
      </c>
      <c r="N27" s="29">
        <f>IF(AB27*DAY(EOMONTH(DATE($B27,$N$2,1),0))*24*3600/$AE$2/10^6&gt;$AE$3,$AE$3,AB27*DAY(EOMONTH(DATE($B27,$N$2,1),0))*24*3600/$AE$2/10^6)</f>
        <v/>
      </c>
      <c r="O27" s="30">
        <f>SUM(C27:N27)</f>
        <v/>
      </c>
      <c r="Q27" t="n">
        <v>74.09999999999999</v>
      </c>
      <c r="R27" t="n">
        <v>39.2</v>
      </c>
      <c r="S27" t="n">
        <v>33.8</v>
      </c>
      <c r="T27" t="n">
        <v>33</v>
      </c>
      <c r="U27" t="n">
        <v>39.6</v>
      </c>
      <c r="V27" t="n">
        <v>72.59999999999999</v>
      </c>
      <c r="W27" t="n">
        <v>95</v>
      </c>
      <c r="X27" t="n">
        <v>242</v>
      </c>
      <c r="Y27" t="n">
        <v>204</v>
      </c>
      <c r="Z27" t="n">
        <v>148</v>
      </c>
      <c r="AA27" t="n">
        <v>121</v>
      </c>
      <c r="AB27" t="n">
        <v>71.59999999999999</v>
      </c>
    </row>
    <row r="28">
      <c r="B28" t="n">
        <v>2002</v>
      </c>
      <c r="C28" s="29">
        <f>IF(Q28*DAY(EOMONTH(DATE($B28,$C$2,1),0))*24*3600/$AE$2/10^6&gt;$AE$3,$AE$3,Q28*DAY(EOMONTH(DATE($B28,$C$2,1),0))*24*3600/$AE$2/10^6)</f>
        <v/>
      </c>
      <c r="D28" s="29">
        <f>IF(R28*DAY(EOMONTH(DATE($B28,$D$2,1),0))*24*3600/$AE$2/10^6&gt;$AE$3,$AE$3,R28*DAY(EOMONTH(DATE($B28,$D$2,1),0))*24*3600/$AE$2/10^6)</f>
        <v/>
      </c>
      <c r="E28" s="29">
        <f>IF(S28*DAY(EOMONTH(DATE($B28,$E$2,1),0))*24*3600/$AE$2/10^6&gt;$AE$3,$AE$3,S28*DAY(EOMONTH(DATE($B28,$E$2,1),0))*24*3600/$AE$2/10^6)</f>
        <v/>
      </c>
      <c r="F28" s="29">
        <f>IF(T28*DAY(EOMONTH(DATE($B28,$F$2,1),0))*24*3600/$AE$2/10^6&gt;$AE$3,$AE$3,T28*DAY(EOMONTH(DATE($B28,$F$2,1),0))*24*3600/$AE$2/10^6)</f>
        <v/>
      </c>
      <c r="G28" s="29">
        <f>IF(U28*DAY(EOMONTH(DATE($B28,$G$2,1),0))*24*3600/$AE$2/10^6&gt;$AE$3,$AE$3,U28*DAY(EOMONTH(DATE($B28,$G$2,1),0))*24*3600/$AE$2/10^6)</f>
        <v/>
      </c>
      <c r="H28" s="29">
        <f>IF(V28*DAY(EOMONTH(DATE($B28,$H$2,1),0))*24*3600/$AE$2/10^6&gt;$AE$3,$AE$3,V28*DAY(EOMONTH(DATE($B28,$H$2,1),0))*24*3600/$AE$2/10^6)</f>
        <v/>
      </c>
      <c r="I28" s="29">
        <f>IF(W28*DAY(EOMONTH(DATE($B28,$I$2,1),0))*24*3600/$AE$2/10^6&gt;$AE$3,$AE$3,W28*DAY(EOMONTH(DATE($B28,$I$2,1),0))*24*3600/$AE$2/10^6)</f>
        <v/>
      </c>
      <c r="J28" s="29">
        <f>IF(X28*DAY(EOMONTH(DATE($B28,$J$2,1),0))*24*3600/$AE$2/10^6&gt;$AE$3,$AE$3,X28*DAY(EOMONTH(DATE($B28,$J$2,1),0))*24*3600/$AE$2/10^6)</f>
        <v/>
      </c>
      <c r="K28" s="29">
        <f>IF(Y28*DAY(EOMONTH(DATE($B28,$K$2,1),0))*24*3600/$AE$2/10^6&gt;$AE$3,$AE$3,Y28*DAY(EOMONTH(DATE($B28,$K$2,1),0))*24*3600/$AE$2/10^6)</f>
        <v/>
      </c>
      <c r="L28" s="29">
        <f>IF(Z28*DAY(EOMONTH(DATE($B28,$L$2,1),0))*24*3600/$AE$2/10^6&gt;$AE$3,$AE$3,Z28*DAY(EOMONTH(DATE($B28,$L$2,1),0))*24*3600/$AE$2/10^6)</f>
        <v/>
      </c>
      <c r="M28" s="29">
        <f>IF(AA28*DAY(EOMONTH(DATE($B28,$M$2,1),0))*24*3600/$AE$2/10^6&gt;$AE$3,$AE$3,AA28*DAY(EOMONTH(DATE($B28,$M$2,1),0))*24*3600/$AE$2/10^6)</f>
        <v/>
      </c>
      <c r="N28" s="29">
        <f>IF(AB28*DAY(EOMONTH(DATE($B28,$N$2,1),0))*24*3600/$AE$2/10^6&gt;$AE$3,$AE$3,AB28*DAY(EOMONTH(DATE($B28,$N$2,1),0))*24*3600/$AE$2/10^6)</f>
        <v/>
      </c>
      <c r="O28" s="30">
        <f>SUM(C28:N28)</f>
        <v/>
      </c>
      <c r="Q28" t="n">
        <v>65.59999999999999</v>
      </c>
      <c r="R28" t="n">
        <v>35</v>
      </c>
      <c r="S28" t="n">
        <v>30.8</v>
      </c>
      <c r="T28" t="n">
        <v>25.8</v>
      </c>
      <c r="U28" t="n">
        <v>21.9</v>
      </c>
      <c r="V28" t="n">
        <v>79.90000000000001</v>
      </c>
      <c r="W28" t="n">
        <v>63.2</v>
      </c>
      <c r="X28" t="n">
        <v>304</v>
      </c>
      <c r="Y28" t="n">
        <v>225</v>
      </c>
      <c r="Z28" t="n">
        <v>146</v>
      </c>
      <c r="AA28" t="n">
        <v>122</v>
      </c>
      <c r="AB28" t="n">
        <v>63.5</v>
      </c>
    </row>
    <row r="29">
      <c r="B29" t="n">
        <v>2003</v>
      </c>
      <c r="C29" s="29">
        <f>IF(Q29*DAY(EOMONTH(DATE($B29,$C$2,1),0))*24*3600/$AE$2/10^6&gt;$AE$3,$AE$3,Q29*DAY(EOMONTH(DATE($B29,$C$2,1),0))*24*3600/$AE$2/10^6)</f>
        <v/>
      </c>
      <c r="D29" s="29">
        <f>IF(R29*DAY(EOMONTH(DATE($B29,$D$2,1),0))*24*3600/$AE$2/10^6&gt;$AE$3,$AE$3,R29*DAY(EOMONTH(DATE($B29,$D$2,1),0))*24*3600/$AE$2/10^6)</f>
        <v/>
      </c>
      <c r="E29" s="29">
        <f>IF(S29*DAY(EOMONTH(DATE($B29,$E$2,1),0))*24*3600/$AE$2/10^6&gt;$AE$3,$AE$3,S29*DAY(EOMONTH(DATE($B29,$E$2,1),0))*24*3600/$AE$2/10^6)</f>
        <v/>
      </c>
      <c r="F29" s="29">
        <f>IF(T29*DAY(EOMONTH(DATE($B29,$F$2,1),0))*24*3600/$AE$2/10^6&gt;$AE$3,$AE$3,T29*DAY(EOMONTH(DATE($B29,$F$2,1),0))*24*3600/$AE$2/10^6)</f>
        <v/>
      </c>
      <c r="G29" s="29">
        <f>IF(U29*DAY(EOMONTH(DATE($B29,$G$2,1),0))*24*3600/$AE$2/10^6&gt;$AE$3,$AE$3,U29*DAY(EOMONTH(DATE($B29,$G$2,1),0))*24*3600/$AE$2/10^6)</f>
        <v/>
      </c>
      <c r="H29" s="29">
        <f>IF(V29*DAY(EOMONTH(DATE($B29,$H$2,1),0))*24*3600/$AE$2/10^6&gt;$AE$3,$AE$3,V29*DAY(EOMONTH(DATE($B29,$H$2,1),0))*24*3600/$AE$2/10^6)</f>
        <v/>
      </c>
      <c r="I29" s="29">
        <f>IF(W29*DAY(EOMONTH(DATE($B29,$I$2,1),0))*24*3600/$AE$2/10^6&gt;$AE$3,$AE$3,W29*DAY(EOMONTH(DATE($B29,$I$2,1),0))*24*3600/$AE$2/10^6)</f>
        <v/>
      </c>
      <c r="J29" s="29">
        <f>IF(X29*DAY(EOMONTH(DATE($B29,$J$2,1),0))*24*3600/$AE$2/10^6&gt;$AE$3,$AE$3,X29*DAY(EOMONTH(DATE($B29,$J$2,1),0))*24*3600/$AE$2/10^6)</f>
        <v/>
      </c>
      <c r="K29" s="29">
        <f>IF(Y29*DAY(EOMONTH(DATE($B29,$K$2,1),0))*24*3600/$AE$2/10^6&gt;$AE$3,$AE$3,Y29*DAY(EOMONTH(DATE($B29,$K$2,1),0))*24*3600/$AE$2/10^6)</f>
        <v/>
      </c>
      <c r="L29" s="29">
        <f>IF(Z29*DAY(EOMONTH(DATE($B29,$L$2,1),0))*24*3600/$AE$2/10^6&gt;$AE$3,$AE$3,Z29*DAY(EOMONTH(DATE($B29,$L$2,1),0))*24*3600/$AE$2/10^6)</f>
        <v/>
      </c>
      <c r="M29" s="29">
        <f>IF(AA29*DAY(EOMONTH(DATE($B29,$M$2,1),0))*24*3600/$AE$2/10^6&gt;$AE$3,$AE$3,AA29*DAY(EOMONTH(DATE($B29,$M$2,1),0))*24*3600/$AE$2/10^6)</f>
        <v/>
      </c>
      <c r="N29" s="29">
        <f>IF(AB29*DAY(EOMONTH(DATE($B29,$N$2,1),0))*24*3600/$AE$2/10^6&gt;$AE$3,$AE$3,AB29*DAY(EOMONTH(DATE($B29,$N$2,1),0))*24*3600/$AE$2/10^6)</f>
        <v/>
      </c>
      <c r="O29" s="30">
        <f>SUM(C29:N29)</f>
        <v/>
      </c>
      <c r="Q29" t="n">
        <v>51.8</v>
      </c>
      <c r="R29" t="n">
        <v>37.3</v>
      </c>
      <c r="S29" t="n">
        <v>28</v>
      </c>
      <c r="T29" t="n">
        <v>23.9</v>
      </c>
      <c r="U29" t="n">
        <v>52.4</v>
      </c>
      <c r="V29" t="n">
        <v>62.2</v>
      </c>
      <c r="W29" t="n">
        <v>82.2</v>
      </c>
      <c r="X29" t="n">
        <v>126</v>
      </c>
      <c r="Y29" t="n">
        <v>171</v>
      </c>
      <c r="Z29" t="n">
        <v>164</v>
      </c>
      <c r="AA29" t="n">
        <v>107</v>
      </c>
      <c r="AB29" t="n">
        <v>55.7</v>
      </c>
    </row>
    <row r="30">
      <c r="B30" t="n">
        <v>2004</v>
      </c>
      <c r="C30" s="29">
        <f>IF(Q30*DAY(EOMONTH(DATE($B30,$C$2,1),0))*24*3600/$AE$2/10^6&gt;$AE$3,$AE$3,Q30*DAY(EOMONTH(DATE($B30,$C$2,1),0))*24*3600/$AE$2/10^6)</f>
        <v/>
      </c>
      <c r="D30" s="29">
        <f>IF(R30*DAY(EOMONTH(DATE($B30,$D$2,1),0))*24*3600/$AE$2/10^6&gt;$AE$3,$AE$3,R30*DAY(EOMONTH(DATE($B30,$D$2,1),0))*24*3600/$AE$2/10^6)</f>
        <v/>
      </c>
      <c r="E30" s="29">
        <f>IF(S30*DAY(EOMONTH(DATE($B30,$E$2,1),0))*24*3600/$AE$2/10^6&gt;$AE$3,$AE$3,S30*DAY(EOMONTH(DATE($B30,$E$2,1),0))*24*3600/$AE$2/10^6)</f>
        <v/>
      </c>
      <c r="F30" s="29">
        <f>IF(T30*DAY(EOMONTH(DATE($B30,$F$2,1),0))*24*3600/$AE$2/10^6&gt;$AE$3,$AE$3,T30*DAY(EOMONTH(DATE($B30,$F$2,1),0))*24*3600/$AE$2/10^6)</f>
        <v/>
      </c>
      <c r="G30" s="29">
        <f>IF(U30*DAY(EOMONTH(DATE($B30,$G$2,1),0))*24*3600/$AE$2/10^6&gt;$AE$3,$AE$3,U30*DAY(EOMONTH(DATE($B30,$G$2,1),0))*24*3600/$AE$2/10^6)</f>
        <v/>
      </c>
      <c r="H30" s="29">
        <f>IF(V30*DAY(EOMONTH(DATE($B30,$H$2,1),0))*24*3600/$AE$2/10^6&gt;$AE$3,$AE$3,V30*DAY(EOMONTH(DATE($B30,$H$2,1),0))*24*3600/$AE$2/10^6)</f>
        <v/>
      </c>
      <c r="I30" s="29">
        <f>IF(W30*DAY(EOMONTH(DATE($B30,$I$2,1),0))*24*3600/$AE$2/10^6&gt;$AE$3,$AE$3,W30*DAY(EOMONTH(DATE($B30,$I$2,1),0))*24*3600/$AE$2/10^6)</f>
        <v/>
      </c>
      <c r="J30" s="29">
        <f>IF(X30*DAY(EOMONTH(DATE($B30,$J$2,1),0))*24*3600/$AE$2/10^6&gt;$AE$3,$AE$3,X30*DAY(EOMONTH(DATE($B30,$J$2,1),0))*24*3600/$AE$2/10^6)</f>
        <v/>
      </c>
      <c r="K30" s="29">
        <f>IF(Y30*DAY(EOMONTH(DATE($B30,$K$2,1),0))*24*3600/$AE$2/10^6&gt;$AE$3,$AE$3,Y30*DAY(EOMONTH(DATE($B30,$K$2,1),0))*24*3600/$AE$2/10^6)</f>
        <v/>
      </c>
      <c r="L30" s="29">
        <f>IF(Z30*DAY(EOMONTH(DATE($B30,$L$2,1),0))*24*3600/$AE$2/10^6&gt;$AE$3,$AE$3,Z30*DAY(EOMONTH(DATE($B30,$L$2,1),0))*24*3600/$AE$2/10^6)</f>
        <v/>
      </c>
      <c r="M30" s="29">
        <f>IF(AA30*DAY(EOMONTH(DATE($B30,$M$2,1),0))*24*3600/$AE$2/10^6&gt;$AE$3,$AE$3,AA30*DAY(EOMONTH(DATE($B30,$M$2,1),0))*24*3600/$AE$2/10^6)</f>
        <v/>
      </c>
      <c r="N30" s="29">
        <f>IF(AB30*DAY(EOMONTH(DATE($B30,$N$2,1),0))*24*3600/$AE$2/10^6&gt;$AE$3,$AE$3,AB30*DAY(EOMONTH(DATE($B30,$N$2,1),0))*24*3600/$AE$2/10^6)</f>
        <v/>
      </c>
      <c r="O30" s="30">
        <f>SUM(C30:N30)</f>
        <v/>
      </c>
      <c r="Q30" t="n">
        <v>43.2</v>
      </c>
      <c r="R30" t="n">
        <v>29.2</v>
      </c>
      <c r="S30" t="n">
        <v>21.4</v>
      </c>
      <c r="T30" t="n">
        <v>25.6</v>
      </c>
      <c r="U30" t="n">
        <v>29.9</v>
      </c>
      <c r="V30" t="n">
        <v>60.3</v>
      </c>
      <c r="W30" t="n">
        <v>60.9</v>
      </c>
      <c r="X30" t="n">
        <v>151</v>
      </c>
      <c r="Y30" t="n">
        <v>94.09999999999999</v>
      </c>
      <c r="Z30" t="n">
        <v>57.6</v>
      </c>
      <c r="AA30" t="n">
        <v>32.5</v>
      </c>
      <c r="AB30" t="n">
        <v>22.4</v>
      </c>
    </row>
    <row r="31">
      <c r="B31" t="n">
        <v>2005</v>
      </c>
      <c r="C31" s="29">
        <f>IF(Q31*DAY(EOMONTH(DATE($B31,$C$2,1),0))*24*3600/$AE$2/10^6&gt;$AE$3,$AE$3,Q31*DAY(EOMONTH(DATE($B31,$C$2,1),0))*24*3600/$AE$2/10^6)</f>
        <v/>
      </c>
      <c r="D31" s="29">
        <f>IF(R31*DAY(EOMONTH(DATE($B31,$D$2,1),0))*24*3600/$AE$2/10^6&gt;$AE$3,$AE$3,R31*DAY(EOMONTH(DATE($B31,$D$2,1),0))*24*3600/$AE$2/10^6)</f>
        <v/>
      </c>
      <c r="E31" s="29">
        <f>IF(S31*DAY(EOMONTH(DATE($B31,$E$2,1),0))*24*3600/$AE$2/10^6&gt;$AE$3,$AE$3,S31*DAY(EOMONTH(DATE($B31,$E$2,1),0))*24*3600/$AE$2/10^6)</f>
        <v/>
      </c>
      <c r="F31" s="29">
        <f>IF(T31*DAY(EOMONTH(DATE($B31,$F$2,1),0))*24*3600/$AE$2/10^6&gt;$AE$3,$AE$3,T31*DAY(EOMONTH(DATE($B31,$F$2,1),0))*24*3600/$AE$2/10^6)</f>
        <v/>
      </c>
      <c r="G31" s="29">
        <f>IF(U31*DAY(EOMONTH(DATE($B31,$G$2,1),0))*24*3600/$AE$2/10^6&gt;$AE$3,$AE$3,U31*DAY(EOMONTH(DATE($B31,$G$2,1),0))*24*3600/$AE$2/10^6)</f>
        <v/>
      </c>
      <c r="H31" s="29">
        <f>IF(V31*DAY(EOMONTH(DATE($B31,$H$2,1),0))*24*3600/$AE$2/10^6&gt;$AE$3,$AE$3,V31*DAY(EOMONTH(DATE($B31,$H$2,1),0))*24*3600/$AE$2/10^6)</f>
        <v/>
      </c>
      <c r="I31" s="29">
        <f>IF(W31*DAY(EOMONTH(DATE($B31,$I$2,1),0))*24*3600/$AE$2/10^6&gt;$AE$3,$AE$3,W31*DAY(EOMONTH(DATE($B31,$I$2,1),0))*24*3600/$AE$2/10^6)</f>
        <v/>
      </c>
      <c r="J31" s="29">
        <f>IF(X31*DAY(EOMONTH(DATE($B31,$J$2,1),0))*24*3600/$AE$2/10^6&gt;$AE$3,$AE$3,X31*DAY(EOMONTH(DATE($B31,$J$2,1),0))*24*3600/$AE$2/10^6)</f>
        <v/>
      </c>
      <c r="K31" s="29">
        <f>IF(Y31*DAY(EOMONTH(DATE($B31,$K$2,1),0))*24*3600/$AE$2/10^6&gt;$AE$3,$AE$3,Y31*DAY(EOMONTH(DATE($B31,$K$2,1),0))*24*3600/$AE$2/10^6)</f>
        <v/>
      </c>
      <c r="L31" s="29">
        <f>IF(Z31*DAY(EOMONTH(DATE($B31,$L$2,1),0))*24*3600/$AE$2/10^6&gt;$AE$3,$AE$3,Z31*DAY(EOMONTH(DATE($B31,$L$2,1),0))*24*3600/$AE$2/10^6)</f>
        <v/>
      </c>
      <c r="M31" s="29">
        <f>IF(AA31*DAY(EOMONTH(DATE($B31,$M$2,1),0))*24*3600/$AE$2/10^6&gt;$AE$3,$AE$3,AA31*DAY(EOMONTH(DATE($B31,$M$2,1),0))*24*3600/$AE$2/10^6)</f>
        <v/>
      </c>
      <c r="N31" s="29">
        <f>IF(AB31*DAY(EOMONTH(DATE($B31,$N$2,1),0))*24*3600/$AE$2/10^6&gt;$AE$3,$AE$3,AB31*DAY(EOMONTH(DATE($B31,$N$2,1),0))*24*3600/$AE$2/10^6)</f>
        <v/>
      </c>
      <c r="O31" s="30">
        <f>SUM(C31:N31)</f>
        <v/>
      </c>
      <c r="Q31" t="n">
        <v>17.9</v>
      </c>
      <c r="R31" t="n">
        <v>15</v>
      </c>
      <c r="S31" t="n">
        <v>13.1</v>
      </c>
      <c r="T31" t="n">
        <v>13.6</v>
      </c>
      <c r="U31" t="n">
        <v>19.9</v>
      </c>
      <c r="V31" t="n">
        <v>25.7</v>
      </c>
      <c r="W31" t="n">
        <v>46.9</v>
      </c>
      <c r="X31" t="n">
        <v>94.90000000000001</v>
      </c>
      <c r="Y31" t="n">
        <v>217</v>
      </c>
      <c r="Z31" t="n">
        <v>118</v>
      </c>
      <c r="AA31" t="n">
        <v>68.09999999999999</v>
      </c>
      <c r="AB31" t="n">
        <v>169</v>
      </c>
    </row>
    <row r="32">
      <c r="B32" t="n">
        <v>2006</v>
      </c>
      <c r="C32" s="29">
        <f>IF(Q32*DAY(EOMONTH(DATE($B32,$C$2,1),0))*24*3600/$AE$2/10^6&gt;$AE$3,$AE$3,Q32*DAY(EOMONTH(DATE($B32,$C$2,1),0))*24*3600/$AE$2/10^6)</f>
        <v/>
      </c>
      <c r="D32" s="29">
        <f>IF(R32*DAY(EOMONTH(DATE($B32,$D$2,1),0))*24*3600/$AE$2/10^6&gt;$AE$3,$AE$3,R32*DAY(EOMONTH(DATE($B32,$D$2,1),0))*24*3600/$AE$2/10^6)</f>
        <v/>
      </c>
      <c r="E32" s="29">
        <f>IF(S32*DAY(EOMONTH(DATE($B32,$E$2,1),0))*24*3600/$AE$2/10^6&gt;$AE$3,$AE$3,S32*DAY(EOMONTH(DATE($B32,$E$2,1),0))*24*3600/$AE$2/10^6)</f>
        <v/>
      </c>
      <c r="F32" s="29">
        <f>IF(T32*DAY(EOMONTH(DATE($B32,$F$2,1),0))*24*3600/$AE$2/10^6&gt;$AE$3,$AE$3,T32*DAY(EOMONTH(DATE($B32,$F$2,1),0))*24*3600/$AE$2/10^6)</f>
        <v/>
      </c>
      <c r="G32" s="29">
        <f>IF(U32*DAY(EOMONTH(DATE($B32,$G$2,1),0))*24*3600/$AE$2/10^6&gt;$AE$3,$AE$3,U32*DAY(EOMONTH(DATE($B32,$G$2,1),0))*24*3600/$AE$2/10^6)</f>
        <v/>
      </c>
      <c r="H32" s="29">
        <f>IF(V32*DAY(EOMONTH(DATE($B32,$H$2,1),0))*24*3600/$AE$2/10^6&gt;$AE$3,$AE$3,V32*DAY(EOMONTH(DATE($B32,$H$2,1),0))*24*3600/$AE$2/10^6)</f>
        <v/>
      </c>
      <c r="I32" s="29">
        <f>IF(W32*DAY(EOMONTH(DATE($B32,$I$2,1),0))*24*3600/$AE$2/10^6&gt;$AE$3,$AE$3,W32*DAY(EOMONTH(DATE($B32,$I$2,1),0))*24*3600/$AE$2/10^6)</f>
        <v/>
      </c>
      <c r="J32" s="29">
        <f>IF(X32*DAY(EOMONTH(DATE($B32,$J$2,1),0))*24*3600/$AE$2/10^6&gt;$AE$3,$AE$3,X32*DAY(EOMONTH(DATE($B32,$J$2,1),0))*24*3600/$AE$2/10^6)</f>
        <v/>
      </c>
      <c r="K32" s="29">
        <f>IF(Y32*DAY(EOMONTH(DATE($B32,$K$2,1),0))*24*3600/$AE$2/10^6&gt;$AE$3,$AE$3,Y32*DAY(EOMONTH(DATE($B32,$K$2,1),0))*24*3600/$AE$2/10^6)</f>
        <v/>
      </c>
      <c r="L32" s="29">
        <f>IF(Z32*DAY(EOMONTH(DATE($B32,$L$2,1),0))*24*3600/$AE$2/10^6&gt;$AE$3,$AE$3,Z32*DAY(EOMONTH(DATE($B32,$L$2,1),0))*24*3600/$AE$2/10^6)</f>
        <v/>
      </c>
      <c r="M32" s="29">
        <f>IF(AA32*DAY(EOMONTH(DATE($B32,$M$2,1),0))*24*3600/$AE$2/10^6&gt;$AE$3,$AE$3,AA32*DAY(EOMONTH(DATE($B32,$M$2,1),0))*24*3600/$AE$2/10^6)</f>
        <v/>
      </c>
      <c r="N32" s="29">
        <f>IF(AB32*DAY(EOMONTH(DATE($B32,$N$2,1),0))*24*3600/$AE$2/10^6&gt;$AE$3,$AE$3,AB32*DAY(EOMONTH(DATE($B32,$N$2,1),0))*24*3600/$AE$2/10^6)</f>
        <v/>
      </c>
      <c r="O32" s="30">
        <f>SUM(C32:N32)</f>
        <v/>
      </c>
      <c r="Q32" t="n">
        <v>55.1</v>
      </c>
      <c r="R32" t="n">
        <v>41.1</v>
      </c>
      <c r="S32" t="n">
        <v>35.2</v>
      </c>
      <c r="T32" t="n">
        <v>36.2</v>
      </c>
      <c r="U32" t="n">
        <v>40</v>
      </c>
      <c r="V32" t="n">
        <v>47.8</v>
      </c>
      <c r="W32" t="n">
        <v>109</v>
      </c>
      <c r="X32" t="n">
        <v>201</v>
      </c>
      <c r="Y32" t="n">
        <v>164</v>
      </c>
      <c r="Z32" t="n">
        <v>230</v>
      </c>
      <c r="AA32" t="n">
        <v>70.5</v>
      </c>
      <c r="AB32" t="n">
        <v>51.5</v>
      </c>
    </row>
    <row r="33">
      <c r="B33" t="n">
        <v>2007</v>
      </c>
      <c r="C33" s="29">
        <f>IF(Q33*DAY(EOMONTH(DATE($B33,$C$2,1),0))*24*3600/$AE$2/10^6&gt;$AE$3,$AE$3,Q33*DAY(EOMONTH(DATE($B33,$C$2,1),0))*24*3600/$AE$2/10^6)</f>
        <v/>
      </c>
      <c r="D33" s="29">
        <f>IF(R33*DAY(EOMONTH(DATE($B33,$D$2,1),0))*24*3600/$AE$2/10^6&gt;$AE$3,$AE$3,R33*DAY(EOMONTH(DATE($B33,$D$2,1),0))*24*3600/$AE$2/10^6)</f>
        <v/>
      </c>
      <c r="E33" s="29">
        <f>IF(S33*DAY(EOMONTH(DATE($B33,$E$2,1),0))*24*3600/$AE$2/10^6&gt;$AE$3,$AE$3,S33*DAY(EOMONTH(DATE($B33,$E$2,1),0))*24*3600/$AE$2/10^6)</f>
        <v/>
      </c>
      <c r="F33" s="29">
        <f>IF(T33*DAY(EOMONTH(DATE($B33,$F$2,1),0))*24*3600/$AE$2/10^6&gt;$AE$3,$AE$3,T33*DAY(EOMONTH(DATE($B33,$F$2,1),0))*24*3600/$AE$2/10^6)</f>
        <v/>
      </c>
      <c r="G33" s="29">
        <f>IF(U33*DAY(EOMONTH(DATE($B33,$G$2,1),0))*24*3600/$AE$2/10^6&gt;$AE$3,$AE$3,U33*DAY(EOMONTH(DATE($B33,$G$2,1),0))*24*3600/$AE$2/10^6)</f>
        <v/>
      </c>
      <c r="H33" s="29">
        <f>IF(V33*DAY(EOMONTH(DATE($B33,$H$2,1),0))*24*3600/$AE$2/10^6&gt;$AE$3,$AE$3,V33*DAY(EOMONTH(DATE($B33,$H$2,1),0))*24*3600/$AE$2/10^6)</f>
        <v/>
      </c>
      <c r="I33" s="29">
        <f>IF(W33*DAY(EOMONTH(DATE($B33,$I$2,1),0))*24*3600/$AE$2/10^6&gt;$AE$3,$AE$3,W33*DAY(EOMONTH(DATE($B33,$I$2,1),0))*24*3600/$AE$2/10^6)</f>
        <v/>
      </c>
      <c r="J33" s="29">
        <f>IF(X33*DAY(EOMONTH(DATE($B33,$J$2,1),0))*24*3600/$AE$2/10^6&gt;$AE$3,$AE$3,X33*DAY(EOMONTH(DATE($B33,$J$2,1),0))*24*3600/$AE$2/10^6)</f>
        <v/>
      </c>
      <c r="K33" s="29">
        <f>IF(Y33*DAY(EOMONTH(DATE($B33,$K$2,1),0))*24*3600/$AE$2/10^6&gt;$AE$3,$AE$3,Y33*DAY(EOMONTH(DATE($B33,$K$2,1),0))*24*3600/$AE$2/10^6)</f>
        <v/>
      </c>
      <c r="L33" s="29">
        <f>IF(Z33*DAY(EOMONTH(DATE($B33,$L$2,1),0))*24*3600/$AE$2/10^6&gt;$AE$3,$AE$3,Z33*DAY(EOMONTH(DATE($B33,$L$2,1),0))*24*3600/$AE$2/10^6)</f>
        <v/>
      </c>
      <c r="M33" s="29">
        <f>IF(AA33*DAY(EOMONTH(DATE($B33,$M$2,1),0))*24*3600/$AE$2/10^6&gt;$AE$3,$AE$3,AA33*DAY(EOMONTH(DATE($B33,$M$2,1),0))*24*3600/$AE$2/10^6)</f>
        <v/>
      </c>
      <c r="N33" s="29">
        <f>IF(AB33*DAY(EOMONTH(DATE($B33,$N$2,1),0))*24*3600/$AE$2/10^6&gt;$AE$3,$AE$3,AB33*DAY(EOMONTH(DATE($B33,$N$2,1),0))*24*3600/$AE$2/10^6)</f>
        <v/>
      </c>
      <c r="O33" s="30">
        <f>SUM(C33:N33)</f>
        <v/>
      </c>
      <c r="Q33" t="n">
        <v>44.4</v>
      </c>
      <c r="R33" t="n">
        <v>30.2</v>
      </c>
      <c r="S33" t="n">
        <v>26.8</v>
      </c>
      <c r="T33" t="n">
        <v>25.2</v>
      </c>
      <c r="U33" t="n">
        <v>50.3</v>
      </c>
      <c r="V33" t="n">
        <v>66.09999999999999</v>
      </c>
      <c r="W33" t="n">
        <v>110</v>
      </c>
      <c r="X33" t="n">
        <v>374</v>
      </c>
      <c r="Y33" t="n">
        <v>273</v>
      </c>
      <c r="Z33" t="n">
        <v>284</v>
      </c>
      <c r="AA33" t="n">
        <v>192</v>
      </c>
      <c r="AB33" t="n">
        <v>95.2</v>
      </c>
    </row>
    <row r="34">
      <c r="B34" t="n">
        <v>2008</v>
      </c>
      <c r="C34" s="29">
        <f>IF(Q34*DAY(EOMONTH(DATE($B34,$C$2,1),0))*24*3600/$AE$2/10^6&gt;$AE$3,$AE$3,Q34*DAY(EOMONTH(DATE($B34,$C$2,1),0))*24*3600/$AE$2/10^6)</f>
        <v/>
      </c>
      <c r="D34" s="29">
        <f>IF(R34*DAY(EOMONTH(DATE($B34,$D$2,1),0))*24*3600/$AE$2/10^6&gt;$AE$3,$AE$3,R34*DAY(EOMONTH(DATE($B34,$D$2,1),0))*24*3600/$AE$2/10^6)</f>
        <v/>
      </c>
      <c r="E34" s="29">
        <f>IF(S34*DAY(EOMONTH(DATE($B34,$E$2,1),0))*24*3600/$AE$2/10^6&gt;$AE$3,$AE$3,S34*DAY(EOMONTH(DATE($B34,$E$2,1),0))*24*3600/$AE$2/10^6)</f>
        <v/>
      </c>
      <c r="F34" s="29">
        <f>IF(T34*DAY(EOMONTH(DATE($B34,$F$2,1),0))*24*3600/$AE$2/10^6&gt;$AE$3,$AE$3,T34*DAY(EOMONTH(DATE($B34,$F$2,1),0))*24*3600/$AE$2/10^6)</f>
        <v/>
      </c>
      <c r="G34" s="29">
        <f>IF(U34*DAY(EOMONTH(DATE($B34,$G$2,1),0))*24*3600/$AE$2/10^6&gt;$AE$3,$AE$3,U34*DAY(EOMONTH(DATE($B34,$G$2,1),0))*24*3600/$AE$2/10^6)</f>
        <v/>
      </c>
      <c r="H34" s="29">
        <f>IF(V34*DAY(EOMONTH(DATE($B34,$H$2,1),0))*24*3600/$AE$2/10^6&gt;$AE$3,$AE$3,V34*DAY(EOMONTH(DATE($B34,$H$2,1),0))*24*3600/$AE$2/10^6)</f>
        <v/>
      </c>
      <c r="I34" s="29">
        <f>IF(W34*DAY(EOMONTH(DATE($B34,$I$2,1),0))*24*3600/$AE$2/10^6&gt;$AE$3,$AE$3,W34*DAY(EOMONTH(DATE($B34,$I$2,1),0))*24*3600/$AE$2/10^6)</f>
        <v/>
      </c>
      <c r="J34" s="29">
        <f>IF(X34*DAY(EOMONTH(DATE($B34,$J$2,1),0))*24*3600/$AE$2/10^6&gt;$AE$3,$AE$3,X34*DAY(EOMONTH(DATE($B34,$J$2,1),0))*24*3600/$AE$2/10^6)</f>
        <v/>
      </c>
      <c r="K34" s="29">
        <f>IF(Y34*DAY(EOMONTH(DATE($B34,$K$2,1),0))*24*3600/$AE$2/10^6&gt;$AE$3,$AE$3,Y34*DAY(EOMONTH(DATE($B34,$K$2,1),0))*24*3600/$AE$2/10^6)</f>
        <v/>
      </c>
      <c r="L34" s="29">
        <f>IF(Z34*DAY(EOMONTH(DATE($B34,$L$2,1),0))*24*3600/$AE$2/10^6&gt;$AE$3,$AE$3,Z34*DAY(EOMONTH(DATE($B34,$L$2,1),0))*24*3600/$AE$2/10^6)</f>
        <v/>
      </c>
      <c r="M34" s="29">
        <f>IF(AA34*DAY(EOMONTH(DATE($B34,$M$2,1),0))*24*3600/$AE$2/10^6&gt;$AE$3,$AE$3,AA34*DAY(EOMONTH(DATE($B34,$M$2,1),0))*24*3600/$AE$2/10^6)</f>
        <v/>
      </c>
      <c r="N34" s="29">
        <f>IF(AB34*DAY(EOMONTH(DATE($B34,$N$2,1),0))*24*3600/$AE$2/10^6&gt;$AE$3,$AE$3,AB34*DAY(EOMONTH(DATE($B34,$N$2,1),0))*24*3600/$AE$2/10^6)</f>
        <v/>
      </c>
      <c r="O34" s="30">
        <f>SUM(C34:N34)</f>
        <v/>
      </c>
      <c r="Q34" t="n">
        <v>67.59999999999999</v>
      </c>
      <c r="R34" t="n">
        <v>50.4</v>
      </c>
      <c r="S34" t="n">
        <v>39.7</v>
      </c>
      <c r="T34" t="n">
        <v>35.4</v>
      </c>
      <c r="U34" t="n">
        <v>52.5</v>
      </c>
      <c r="V34" t="n">
        <v>50.9</v>
      </c>
      <c r="W34" t="n">
        <v>62.1</v>
      </c>
      <c r="X34" t="n">
        <v>106</v>
      </c>
      <c r="Y34" t="n">
        <v>118</v>
      </c>
      <c r="Z34" t="n">
        <v>126</v>
      </c>
      <c r="AA34" t="n">
        <v>139</v>
      </c>
      <c r="AB34" t="n">
        <v>79.3</v>
      </c>
    </row>
    <row r="35">
      <c r="B35" t="n">
        <v>2009</v>
      </c>
      <c r="C35" s="29">
        <f>IF(Q35*DAY(EOMONTH(DATE($B35,$C$2,1),0))*24*3600/$AE$2/10^6&gt;$AE$3,$AE$3,Q35*DAY(EOMONTH(DATE($B35,$C$2,1),0))*24*3600/$AE$2/10^6)</f>
        <v/>
      </c>
      <c r="D35" s="29">
        <f>IF(R35*DAY(EOMONTH(DATE($B35,$D$2,1),0))*24*3600/$AE$2/10^6&gt;$AE$3,$AE$3,R35*DAY(EOMONTH(DATE($B35,$D$2,1),0))*24*3600/$AE$2/10^6)</f>
        <v/>
      </c>
      <c r="E35" s="29">
        <f>IF(S35*DAY(EOMONTH(DATE($B35,$E$2,1),0))*24*3600/$AE$2/10^6&gt;$AE$3,$AE$3,S35*DAY(EOMONTH(DATE($B35,$E$2,1),0))*24*3600/$AE$2/10^6)</f>
        <v/>
      </c>
      <c r="F35" s="29">
        <f>IF(T35*DAY(EOMONTH(DATE($B35,$F$2,1),0))*24*3600/$AE$2/10^6&gt;$AE$3,$AE$3,T35*DAY(EOMONTH(DATE($B35,$F$2,1),0))*24*3600/$AE$2/10^6)</f>
        <v/>
      </c>
      <c r="G35" s="29">
        <f>IF(U35*DAY(EOMONTH(DATE($B35,$G$2,1),0))*24*3600/$AE$2/10^6&gt;$AE$3,$AE$3,U35*DAY(EOMONTH(DATE($B35,$G$2,1),0))*24*3600/$AE$2/10^6)</f>
        <v/>
      </c>
      <c r="H35" s="29">
        <f>IF(V35*DAY(EOMONTH(DATE($B35,$H$2,1),0))*24*3600/$AE$2/10^6&gt;$AE$3,$AE$3,V35*DAY(EOMONTH(DATE($B35,$H$2,1),0))*24*3600/$AE$2/10^6)</f>
        <v/>
      </c>
      <c r="I35" s="29">
        <f>IF(W35*DAY(EOMONTH(DATE($B35,$I$2,1),0))*24*3600/$AE$2/10^6&gt;$AE$3,$AE$3,W35*DAY(EOMONTH(DATE($B35,$I$2,1),0))*24*3600/$AE$2/10^6)</f>
        <v/>
      </c>
      <c r="J35" s="29">
        <f>IF(X35*DAY(EOMONTH(DATE($B35,$J$2,1),0))*24*3600/$AE$2/10^6&gt;$AE$3,$AE$3,X35*DAY(EOMONTH(DATE($B35,$J$2,1),0))*24*3600/$AE$2/10^6)</f>
        <v/>
      </c>
      <c r="K35" s="29">
        <f>IF(Y35*DAY(EOMONTH(DATE($B35,$K$2,1),0))*24*3600/$AE$2/10^6&gt;$AE$3,$AE$3,Y35*DAY(EOMONTH(DATE($B35,$K$2,1),0))*24*3600/$AE$2/10^6)</f>
        <v/>
      </c>
      <c r="L35" s="29">
        <f>IF(Z35*DAY(EOMONTH(DATE($B35,$L$2,1),0))*24*3600/$AE$2/10^6&gt;$AE$3,$AE$3,Z35*DAY(EOMONTH(DATE($B35,$L$2,1),0))*24*3600/$AE$2/10^6)</f>
        <v/>
      </c>
      <c r="M35" s="29">
        <f>IF(AA35*DAY(EOMONTH(DATE($B35,$M$2,1),0))*24*3600/$AE$2/10^6&gt;$AE$3,$AE$3,AA35*DAY(EOMONTH(DATE($B35,$M$2,1),0))*24*3600/$AE$2/10^6)</f>
        <v/>
      </c>
      <c r="N35" s="29">
        <f>IF(AB35*DAY(EOMONTH(DATE($B35,$N$2,1),0))*24*3600/$AE$2/10^6&gt;$AE$3,$AE$3,AB35*DAY(EOMONTH(DATE($B35,$N$2,1),0))*24*3600/$AE$2/10^6)</f>
        <v/>
      </c>
      <c r="O35" s="30">
        <f>SUM(C35:N35)</f>
        <v/>
      </c>
      <c r="Q35" t="n">
        <v>67.59999999999999</v>
      </c>
      <c r="R35" t="n">
        <v>50.4</v>
      </c>
      <c r="S35" t="n">
        <v>39.7</v>
      </c>
      <c r="T35" t="n">
        <v>35.4</v>
      </c>
      <c r="U35" t="n">
        <v>52.5</v>
      </c>
      <c r="V35" t="n">
        <v>50.9</v>
      </c>
      <c r="W35" t="n">
        <v>62.1</v>
      </c>
      <c r="X35" t="n">
        <v>106</v>
      </c>
      <c r="Y35" t="n">
        <v>118</v>
      </c>
      <c r="Z35" t="n">
        <v>126</v>
      </c>
      <c r="AA35" t="n">
        <v>139</v>
      </c>
      <c r="AB35" t="n">
        <v>79.3</v>
      </c>
    </row>
    <row r="36">
      <c r="B36" t="n">
        <v>2010</v>
      </c>
      <c r="C36" s="29">
        <f>IF(Q36*DAY(EOMONTH(DATE($B36,$C$2,1),0))*24*3600/$AE$2/10^6&gt;$AE$3,$AE$3,Q36*DAY(EOMONTH(DATE($B36,$C$2,1),0))*24*3600/$AE$2/10^6)</f>
        <v/>
      </c>
      <c r="D36" s="29">
        <f>IF(R36*DAY(EOMONTH(DATE($B36,$D$2,1),0))*24*3600/$AE$2/10^6&gt;$AE$3,$AE$3,R36*DAY(EOMONTH(DATE($B36,$D$2,1),0))*24*3600/$AE$2/10^6)</f>
        <v/>
      </c>
      <c r="E36" s="29">
        <f>IF(S36*DAY(EOMONTH(DATE($B36,$E$2,1),0))*24*3600/$AE$2/10^6&gt;$AE$3,$AE$3,S36*DAY(EOMONTH(DATE($B36,$E$2,1),0))*24*3600/$AE$2/10^6)</f>
        <v/>
      </c>
      <c r="F36" s="29">
        <f>IF(T36*DAY(EOMONTH(DATE($B36,$F$2,1),0))*24*3600/$AE$2/10^6&gt;$AE$3,$AE$3,T36*DAY(EOMONTH(DATE($B36,$F$2,1),0))*24*3600/$AE$2/10^6)</f>
        <v/>
      </c>
      <c r="G36" s="29">
        <f>IF(U36*DAY(EOMONTH(DATE($B36,$G$2,1),0))*24*3600/$AE$2/10^6&gt;$AE$3,$AE$3,U36*DAY(EOMONTH(DATE($B36,$G$2,1),0))*24*3600/$AE$2/10^6)</f>
        <v/>
      </c>
      <c r="H36" s="29">
        <f>IF(V36*DAY(EOMONTH(DATE($B36,$H$2,1),0))*24*3600/$AE$2/10^6&gt;$AE$3,$AE$3,V36*DAY(EOMONTH(DATE($B36,$H$2,1),0))*24*3600/$AE$2/10^6)</f>
        <v/>
      </c>
      <c r="I36" s="29">
        <f>IF(W36*DAY(EOMONTH(DATE($B36,$I$2,1),0))*24*3600/$AE$2/10^6&gt;$AE$3,$AE$3,W36*DAY(EOMONTH(DATE($B36,$I$2,1),0))*24*3600/$AE$2/10^6)</f>
        <v/>
      </c>
      <c r="J36" s="29">
        <f>IF(X36*DAY(EOMONTH(DATE($B36,$J$2,1),0))*24*3600/$AE$2/10^6&gt;$AE$3,$AE$3,X36*DAY(EOMONTH(DATE($B36,$J$2,1),0))*24*3600/$AE$2/10^6)</f>
        <v/>
      </c>
      <c r="K36" s="29">
        <f>IF(Y36*DAY(EOMONTH(DATE($B36,$K$2,1),0))*24*3600/$AE$2/10^6&gt;$AE$3,$AE$3,Y36*DAY(EOMONTH(DATE($B36,$K$2,1),0))*24*3600/$AE$2/10^6)</f>
        <v/>
      </c>
      <c r="L36" s="29">
        <f>IF(Z36*DAY(EOMONTH(DATE($B36,$L$2,1),0))*24*3600/$AE$2/10^6&gt;$AE$3,$AE$3,Z36*DAY(EOMONTH(DATE($B36,$L$2,1),0))*24*3600/$AE$2/10^6)</f>
        <v/>
      </c>
      <c r="M36" s="29">
        <f>IF(AA36*DAY(EOMONTH(DATE($B36,$M$2,1),0))*24*3600/$AE$2/10^6&gt;$AE$3,$AE$3,AA36*DAY(EOMONTH(DATE($B36,$M$2,1),0))*24*3600/$AE$2/10^6)</f>
        <v/>
      </c>
      <c r="N36" s="29">
        <f>IF(AB36*DAY(EOMONTH(DATE($B36,$N$2,1),0))*24*3600/$AE$2/10^6&gt;$AE$3,$AE$3,AB36*DAY(EOMONTH(DATE($B36,$N$2,1),0))*24*3600/$AE$2/10^6)</f>
        <v/>
      </c>
      <c r="O36" s="30">
        <f>SUM(C36:N36)</f>
        <v/>
      </c>
      <c r="Q36" s="31" t="n">
        <v>53.1596129032258</v>
      </c>
      <c r="R36" s="31" t="n">
        <v>33.25096428571429</v>
      </c>
      <c r="S36" s="31" t="n">
        <v>24.89700000000001</v>
      </c>
      <c r="T36" s="31" t="n">
        <v>26.5119995370356</v>
      </c>
      <c r="U36" s="31" t="n">
        <v>33.5338064516129</v>
      </c>
      <c r="V36" s="31" t="n">
        <v>47.04389999999999</v>
      </c>
      <c r="W36" s="31" t="n">
        <v>62.49750851254978</v>
      </c>
      <c r="X36" s="31" t="n">
        <v>88.0853870967742</v>
      </c>
      <c r="Y36" s="31" t="n">
        <v>85.94566666666668</v>
      </c>
      <c r="Z36" s="31" t="n">
        <v>114.5841290322581</v>
      </c>
      <c r="AA36" s="31" t="n">
        <v>176.3771280864202</v>
      </c>
      <c r="AB36" s="31" t="n">
        <v>87.4316129032258</v>
      </c>
    </row>
    <row r="37" ht="15" customHeight="1">
      <c r="B37" s="9" t="n">
        <v>2011</v>
      </c>
      <c r="C37" s="32">
        <f>'[1]2011'!C3</f>
        <v/>
      </c>
      <c r="D37" s="32">
        <f>'[1]2011'!D3</f>
        <v/>
      </c>
      <c r="E37" s="32">
        <f>'[1]2011'!E3</f>
        <v/>
      </c>
      <c r="F37" s="32">
        <f>'[1]2011'!F3</f>
        <v/>
      </c>
      <c r="G37" s="32">
        <f>'[1]2011'!G3</f>
        <v/>
      </c>
      <c r="H37" s="32">
        <f>'[1]2011'!H3</f>
        <v/>
      </c>
      <c r="I37" s="32">
        <f>'[1]2011'!I3</f>
        <v/>
      </c>
      <c r="J37" s="32">
        <f>'[1]2011'!J3</f>
        <v/>
      </c>
      <c r="K37" s="32">
        <f>'[1]2011'!K3</f>
        <v/>
      </c>
      <c r="L37" s="32">
        <f>'[1]2011'!L3</f>
        <v/>
      </c>
      <c r="M37" s="32">
        <f>'[1]2011'!M3</f>
        <v/>
      </c>
      <c r="N37" s="32">
        <f>'[1]2011'!N3</f>
        <v/>
      </c>
      <c r="O37" s="33">
        <f>SUM(C37:N37)</f>
        <v/>
      </c>
      <c r="Q37" s="31" t="n">
        <v>38.73890083632043</v>
      </c>
      <c r="R37" s="31" t="n">
        <v>27.37571428571429</v>
      </c>
      <c r="S37" s="31" t="n">
        <v>31.26645161290323</v>
      </c>
      <c r="T37" s="31" t="n">
        <v>28.10233333333333</v>
      </c>
      <c r="U37" s="31" t="n">
        <v>44.50928248207201</v>
      </c>
      <c r="V37" s="31" t="n">
        <v>93.03787523150913</v>
      </c>
      <c r="W37" s="31" t="n">
        <v>99.70354838709676</v>
      </c>
      <c r="X37" s="31" t="n">
        <v>132.4958664874475</v>
      </c>
      <c r="Y37" s="31" t="n">
        <v>178.2786851851944</v>
      </c>
      <c r="Z37" s="31" t="n">
        <v>269.9167359617261</v>
      </c>
      <c r="AA37" s="31" t="n">
        <v>114.6236358024602</v>
      </c>
      <c r="AB37" s="31" t="n">
        <v>78.93350059737227</v>
      </c>
    </row>
    <row r="38" ht="15" customHeight="1">
      <c r="B38" s="12" t="n">
        <v>2012</v>
      </c>
      <c r="C38" s="31">
        <f>'[1]2012'!C3</f>
        <v/>
      </c>
      <c r="D38" s="31">
        <f>'[1]2012'!D3</f>
        <v/>
      </c>
      <c r="E38" s="31">
        <f>'[1]2012'!E3</f>
        <v/>
      </c>
      <c r="F38" s="31">
        <f>'[1]2012'!F3</f>
        <v/>
      </c>
      <c r="G38" s="31">
        <f>'[1]2012'!G3</f>
        <v/>
      </c>
      <c r="H38" s="31">
        <f>'[1]2012'!H3</f>
        <v/>
      </c>
      <c r="I38" s="31">
        <f>'[1]2012'!I3</f>
        <v/>
      </c>
      <c r="J38" s="31">
        <f>'[1]2012'!J3</f>
        <v/>
      </c>
      <c r="K38" s="31">
        <f>'[1]2012'!K3</f>
        <v/>
      </c>
      <c r="L38" s="31">
        <f>'[1]2012'!L3</f>
        <v/>
      </c>
      <c r="M38" s="31">
        <f>'[1]2012'!M3</f>
        <v/>
      </c>
      <c r="N38" s="31">
        <f>'[1]2012'!N3</f>
        <v/>
      </c>
      <c r="O38" s="34">
        <f>SUM(C38:N38)</f>
        <v/>
      </c>
      <c r="Q38" s="31" t="n">
        <v>55.97289426523795</v>
      </c>
      <c r="R38" s="31" t="n">
        <v>40.18179278418168</v>
      </c>
      <c r="S38" s="31" t="n">
        <v>32.36271751793834</v>
      </c>
      <c r="T38" s="31" t="n">
        <v>67.79898611114935</v>
      </c>
      <c r="U38" s="31" t="n">
        <v>64.25935573475536</v>
      </c>
      <c r="V38" s="31" t="n">
        <v>69.11834567902228</v>
      </c>
      <c r="W38" s="31" t="n">
        <v>99.43960872165603</v>
      </c>
      <c r="X38" s="31" t="n">
        <v>99.35276807059684</v>
      </c>
      <c r="Y38" s="31" t="n">
        <v>216.5486572531614</v>
      </c>
      <c r="Z38" s="31" t="n">
        <v>230.9961768219968</v>
      </c>
      <c r="AA38" s="31" t="n">
        <v>85.82574382715389</v>
      </c>
      <c r="AB38" s="31" t="n">
        <v>50.22920698923651</v>
      </c>
    </row>
    <row r="39" ht="15" customHeight="1">
      <c r="B39" s="12" t="n">
        <v>2013</v>
      </c>
      <c r="C39" s="31">
        <f>'[1]2013'!C3</f>
        <v/>
      </c>
      <c r="D39" s="31">
        <f>'[1]2013'!D3</f>
        <v/>
      </c>
      <c r="E39" s="31">
        <f>'[1]2013'!E3</f>
        <v/>
      </c>
      <c r="F39" s="31">
        <f>'[1]2013'!F3</f>
        <v/>
      </c>
      <c r="G39" s="31">
        <f>'[1]2013'!G3</f>
        <v/>
      </c>
      <c r="H39" s="31">
        <f>'[1]2013'!H3</f>
        <v/>
      </c>
      <c r="I39" s="31">
        <f>'[1]2013'!I3</f>
        <v/>
      </c>
      <c r="J39" s="31">
        <f>'[1]2013'!J3</f>
        <v/>
      </c>
      <c r="K39" s="31">
        <f>'[1]2013'!K3</f>
        <v/>
      </c>
      <c r="L39" s="31">
        <f>'[1]2013'!L3</f>
        <v/>
      </c>
      <c r="M39" s="31">
        <f>'[1]2013'!M3</f>
        <v/>
      </c>
      <c r="N39" s="31">
        <f>'[1]2013'!N3</f>
        <v/>
      </c>
      <c r="O39" s="34">
        <f>SUM(C39:N39)</f>
        <v/>
      </c>
      <c r="Q39" s="31" t="n">
        <v>41.04654719237593</v>
      </c>
      <c r="R39" s="31" t="n">
        <v>28.78698925265792</v>
      </c>
      <c r="S39" s="31" t="n">
        <v>25.5241879480152</v>
      </c>
      <c r="T39" s="31" t="n">
        <v>31.45148518518674</v>
      </c>
      <c r="U39" s="31" t="n">
        <v>50.59014784936468</v>
      </c>
      <c r="V39" s="31" t="n">
        <v>99.37853240746971</v>
      </c>
      <c r="W39" s="31" t="n">
        <v>133.1381844385166</v>
      </c>
      <c r="X39" s="31" t="n">
        <v>128.8165413679314</v>
      </c>
      <c r="Y39" s="31" t="n">
        <v>188.2469450617655</v>
      </c>
      <c r="Z39" s="31" t="n">
        <v>161.753502090779</v>
      </c>
      <c r="AA39" s="31" t="n">
        <v>97.14958271603314</v>
      </c>
      <c r="AB39" s="31" t="n">
        <v>56.43075388290578</v>
      </c>
    </row>
    <row r="40" ht="15" customHeight="1">
      <c r="B40" s="12" t="n">
        <v>2014</v>
      </c>
      <c r="C40" s="31">
        <f>'[1]2014'!C3</f>
        <v/>
      </c>
      <c r="D40" s="31">
        <f>'[1]2014'!D3</f>
        <v/>
      </c>
      <c r="E40" s="31">
        <f>'[1]2014'!E3</f>
        <v/>
      </c>
      <c r="F40" s="31">
        <f>'[1]2014'!F3</f>
        <v/>
      </c>
      <c r="G40" s="31">
        <f>'[1]2014'!G3</f>
        <v/>
      </c>
      <c r="H40" s="31">
        <f>'[1]2014'!H3</f>
        <v/>
      </c>
      <c r="I40" s="31">
        <f>'[1]2014'!I3</f>
        <v/>
      </c>
      <c r="J40" s="31">
        <f>'[1]2014'!J3</f>
        <v/>
      </c>
      <c r="K40" s="31">
        <f>'[1]2014'!K3</f>
        <v/>
      </c>
      <c r="L40" s="31">
        <f>'[1]2014'!L3</f>
        <v/>
      </c>
      <c r="M40" s="31">
        <f>'[1]2014'!M3</f>
        <v/>
      </c>
      <c r="N40" s="31">
        <f>'[1]2014'!N3</f>
        <v/>
      </c>
      <c r="O40" s="34">
        <f>SUM(C40:N40)</f>
        <v/>
      </c>
      <c r="Q40" s="31" t="n">
        <v>35.14655973707052</v>
      </c>
      <c r="R40" s="31" t="n">
        <v>27.15906580688775</v>
      </c>
      <c r="S40" s="31" t="n">
        <v>23.63107937573361</v>
      </c>
      <c r="T40" s="31" t="n">
        <v>40.34988827159438</v>
      </c>
      <c r="U40" s="31" t="n">
        <v>51.11252389488707</v>
      </c>
      <c r="V40" s="31" t="n">
        <v>91.451206790144</v>
      </c>
      <c r="W40" s="31" t="n">
        <v>161.7291017025435</v>
      </c>
      <c r="X40" s="31" t="n">
        <v>192.0852495520675</v>
      </c>
      <c r="Y40" s="31" t="n">
        <v>178.7193456790312</v>
      </c>
      <c r="Z40" s="31" t="n">
        <v>117.001353942644</v>
      </c>
      <c r="AA40" s="31" t="n">
        <v>66.74421049380551</v>
      </c>
      <c r="AB40" s="31" t="n">
        <v>56.58669892476429</v>
      </c>
    </row>
    <row r="41" ht="15" customHeight="1">
      <c r="B41" s="12" t="n">
        <v>2015</v>
      </c>
      <c r="C41" s="31">
        <f>'[1]2015'!C3</f>
        <v/>
      </c>
      <c r="D41" s="31">
        <f>'[1]2015'!D3</f>
        <v/>
      </c>
      <c r="E41" s="31">
        <f>'[1]2015'!E3</f>
        <v/>
      </c>
      <c r="F41" s="31">
        <f>'[1]2015'!F3</f>
        <v/>
      </c>
      <c r="G41" s="31">
        <f>'[1]2015'!G3</f>
        <v/>
      </c>
      <c r="H41" s="31">
        <f>'[1]2015'!H3</f>
        <v/>
      </c>
      <c r="I41" s="31">
        <f>'[1]2015'!I3</f>
        <v/>
      </c>
      <c r="J41" s="31">
        <f>'[1]2015'!J3</f>
        <v/>
      </c>
      <c r="K41" s="31">
        <f>'[1]2015'!K3</f>
        <v/>
      </c>
      <c r="L41" s="31">
        <f>'[1]2015'!L3</f>
        <v/>
      </c>
      <c r="M41" s="31">
        <f>'[1]2015'!M3</f>
        <v/>
      </c>
      <c r="N41" s="31">
        <f>'[1]2015'!N3</f>
        <v/>
      </c>
      <c r="O41" s="34">
        <f>SUM(C41:N41)</f>
        <v/>
      </c>
      <c r="Q41" s="31" t="n">
        <v>36.89921923544443</v>
      </c>
      <c r="R41" s="31" t="n">
        <v>27.70037797630349</v>
      </c>
      <c r="S41" s="31" t="n">
        <v>21.83474425035952</v>
      </c>
      <c r="T41" s="31" t="n">
        <v>20.87368124997183</v>
      </c>
      <c r="U41" s="31" t="n">
        <v>32.75523051084259</v>
      </c>
      <c r="V41" s="31" t="n">
        <v>65.17275949082324</v>
      </c>
      <c r="W41" s="31" t="n">
        <v>84.74894720735034</v>
      </c>
      <c r="X41" s="31" t="n">
        <v>100.641935483871</v>
      </c>
      <c r="Y41" s="31" t="n">
        <v>89.36802386574045</v>
      </c>
      <c r="Z41" s="31" t="n">
        <v>95.33873304258201</v>
      </c>
      <c r="AA41" s="31" t="n">
        <v>65.61173746141938</v>
      </c>
      <c r="AB41" s="31" t="n">
        <v>49.560215247356</v>
      </c>
    </row>
    <row r="42" ht="15" customHeight="1">
      <c r="B42" s="12" t="n">
        <v>2016</v>
      </c>
      <c r="C42" s="31">
        <f>'[1]2016'!C3</f>
        <v/>
      </c>
      <c r="D42" s="31">
        <f>'[1]2016'!D3</f>
        <v/>
      </c>
      <c r="E42" s="31">
        <f>'[1]2016'!E3</f>
        <v/>
      </c>
      <c r="F42" s="31">
        <f>'[1]2016'!F3</f>
        <v/>
      </c>
      <c r="G42" s="31">
        <f>'[1]2016'!G3</f>
        <v/>
      </c>
      <c r="H42" s="31">
        <f>'[1]2016'!H3</f>
        <v/>
      </c>
      <c r="I42" s="31">
        <f>'[1]2016'!I3</f>
        <v/>
      </c>
      <c r="J42" s="31">
        <f>'[1]2016'!J3</f>
        <v/>
      </c>
      <c r="K42" s="31">
        <f>'[1]2016'!K3</f>
        <v/>
      </c>
      <c r="L42" s="31">
        <f>'[1]2016'!L3</f>
        <v/>
      </c>
      <c r="M42" s="31">
        <f>'[1]2016'!M3</f>
        <v/>
      </c>
      <c r="N42" s="31">
        <f>'[1]2016'!N3</f>
        <v/>
      </c>
      <c r="O42" s="34">
        <f>SUM(C42:N42)</f>
        <v/>
      </c>
      <c r="Q42" s="31" t="n">
        <v>29.58018511143559</v>
      </c>
      <c r="R42" s="31" t="n">
        <v>16.848667478675</v>
      </c>
      <c r="S42" s="31" t="n">
        <v>18.40798548579355</v>
      </c>
      <c r="T42" s="31" t="n">
        <v>16.03101453115295</v>
      </c>
      <c r="U42" s="31" t="n">
        <v>33.49414665388951</v>
      </c>
      <c r="V42" s="31" t="n">
        <v>59.30572009716602</v>
      </c>
      <c r="W42" s="31" t="n">
        <v>76.74981678818763</v>
      </c>
      <c r="X42" s="31" t="n">
        <v>99.23131076388889</v>
      </c>
      <c r="Y42" s="31" t="n">
        <v>121.844697386189</v>
      </c>
      <c r="Z42" s="31" t="n">
        <v>202.0887938957263</v>
      </c>
      <c r="AA42" s="31" t="n">
        <v>187.2208672249819</v>
      </c>
      <c r="AB42" s="31" t="n">
        <v>135.9684979284505</v>
      </c>
    </row>
    <row r="43" ht="15" customHeight="1">
      <c r="B43" s="12" t="n">
        <v>2017</v>
      </c>
      <c r="C43" s="31">
        <f>'[1]2017'!C3</f>
        <v/>
      </c>
      <c r="D43" s="31">
        <f>'[1]2017'!D3</f>
        <v/>
      </c>
      <c r="E43" s="31">
        <f>'[1]2017'!E3</f>
        <v/>
      </c>
      <c r="F43" s="31">
        <f>'[1]2017'!F3</f>
        <v/>
      </c>
      <c r="G43" s="31">
        <f>'[1]2017'!G3</f>
        <v/>
      </c>
      <c r="H43" s="31">
        <f>'[1]2017'!H3</f>
        <v/>
      </c>
      <c r="I43" s="31">
        <f>'[1]2017'!I3</f>
        <v/>
      </c>
      <c r="J43" s="31">
        <f>'[1]2017'!J3</f>
        <v/>
      </c>
      <c r="K43" s="31">
        <f>'[1]2017'!K3</f>
        <v/>
      </c>
      <c r="L43" s="31">
        <f>'[1]2017'!L3</f>
        <v/>
      </c>
      <c r="M43" s="31">
        <f>'[1]2017'!M3</f>
        <v/>
      </c>
      <c r="N43" s="31">
        <f>'[1]2017'!N3</f>
        <v/>
      </c>
      <c r="O43" s="34">
        <f>SUM(C43:N43)</f>
        <v/>
      </c>
      <c r="Q43" s="31" t="n">
        <v>82.21946972902541</v>
      </c>
      <c r="R43" s="31" t="n">
        <v>52.00577313781442</v>
      </c>
      <c r="S43" s="31" t="n">
        <v>36.55785361077907</v>
      </c>
      <c r="T43" s="31" t="n">
        <v>43.7844815408714</v>
      </c>
      <c r="U43" s="31" t="n">
        <v>118.5398319666412</v>
      </c>
      <c r="V43" s="31" t="n">
        <v>102.654893379022</v>
      </c>
      <c r="W43" s="31" t="n">
        <v>183.0093129860572</v>
      </c>
      <c r="X43" s="31" t="n">
        <v>189.4675935261674</v>
      </c>
      <c r="Y43" s="31" t="n">
        <v>162.036469461322</v>
      </c>
      <c r="Z43" s="31" t="n">
        <v>187.7700767703047</v>
      </c>
      <c r="AA43" s="31" t="n">
        <v>185.4505127565362</v>
      </c>
      <c r="AB43" s="31" t="n">
        <v>118.3095881519756</v>
      </c>
    </row>
    <row r="44" ht="15" customHeight="1">
      <c r="B44" s="12" t="n">
        <v>2018</v>
      </c>
      <c r="C44" s="31">
        <f>'[1]2018'!C3</f>
        <v/>
      </c>
      <c r="D44" s="31">
        <f>'[1]2018'!D3</f>
        <v/>
      </c>
      <c r="E44" s="31">
        <f>'[1]2018'!E3</f>
        <v/>
      </c>
      <c r="F44" s="31">
        <f>'[1]2018'!F3</f>
        <v/>
      </c>
      <c r="G44" s="31">
        <f>'[1]2018'!G3</f>
        <v/>
      </c>
      <c r="H44" s="31">
        <f>'[1]2018'!H3</f>
        <v/>
      </c>
      <c r="I44" s="31">
        <f>'[1]2018'!I3</f>
        <v/>
      </c>
      <c r="J44" s="31">
        <f>'[1]2018'!J3</f>
        <v/>
      </c>
      <c r="K44" s="31">
        <f>'[1]2018'!K3</f>
        <v/>
      </c>
      <c r="L44" s="31">
        <f>'[1]2018'!L3</f>
        <v/>
      </c>
      <c r="M44" s="31">
        <f>'[1]2018'!M3</f>
        <v/>
      </c>
      <c r="N44" s="31">
        <f>'[1]2018'!N3</f>
        <v/>
      </c>
      <c r="O44" s="34">
        <f>SUM(C44:N44)</f>
        <v/>
      </c>
      <c r="Q44" s="31" t="n">
        <v>60.15674096475506</v>
      </c>
      <c r="R44" s="31" t="n">
        <v>39.04192239571859</v>
      </c>
      <c r="S44" s="31" t="n">
        <v>36.13144236323707</v>
      </c>
      <c r="T44" s="31" t="n">
        <v>29.83238290895084</v>
      </c>
      <c r="U44" s="31" t="n">
        <v>53.6621904868575</v>
      </c>
      <c r="V44" s="31" t="n">
        <v>69.58672682095718</v>
      </c>
      <c r="W44" s="31" t="n">
        <v>144.0200212663219</v>
      </c>
      <c r="X44" s="31" t="n">
        <v>225.9662299600442</v>
      </c>
      <c r="Y44" s="31" t="n">
        <v>218.4800296103388</v>
      </c>
      <c r="Z44" s="31" t="n">
        <v>116.3207851142475</v>
      </c>
      <c r="AA44" s="31" t="n">
        <v>91.77355806327178</v>
      </c>
      <c r="AB44" s="31" t="n">
        <v>84.96806016155828</v>
      </c>
    </row>
    <row r="45" ht="15" customHeight="1">
      <c r="B45" s="12" t="n">
        <v>2019</v>
      </c>
      <c r="C45" s="31">
        <f>'[1]2019'!C3</f>
        <v/>
      </c>
      <c r="D45" s="31">
        <f>'[1]2019'!D3</f>
        <v/>
      </c>
      <c r="E45" s="31">
        <f>'[1]2019'!E3</f>
        <v/>
      </c>
      <c r="F45" s="31">
        <f>'[1]2019'!F3</f>
        <v/>
      </c>
      <c r="G45" s="31">
        <f>'[1]2019'!G3</f>
        <v/>
      </c>
      <c r="H45" s="31">
        <f>'[1]2019'!H3</f>
        <v/>
      </c>
      <c r="I45" s="31">
        <f>'[1]2019'!I3</f>
        <v/>
      </c>
      <c r="J45" s="31">
        <f>'[1]2019'!J3</f>
        <v/>
      </c>
      <c r="K45" s="31">
        <f>'[1]2019'!K3</f>
        <v/>
      </c>
      <c r="L45" s="31">
        <f>'[1]2019'!L3</f>
        <v/>
      </c>
      <c r="M45" s="31">
        <f>'[1]2019'!M3</f>
        <v/>
      </c>
      <c r="N45" s="31">
        <f>'[1]2019'!N3</f>
        <v/>
      </c>
      <c r="O45" s="34">
        <f>SUM(C45:N45)</f>
        <v/>
      </c>
      <c r="Q45" s="31" t="n">
        <v>71.10328225806452</v>
      </c>
      <c r="R45" s="31" t="n">
        <v>33.98602846560835</v>
      </c>
      <c r="S45" s="31" t="n">
        <v>27.04232716857702</v>
      </c>
      <c r="T45" s="31" t="n">
        <v>29.64768797555531</v>
      </c>
      <c r="U45" s="31" t="n">
        <v>32.27565786300344</v>
      </c>
      <c r="V45" s="31" t="n">
        <v>46.8126625528064</v>
      </c>
      <c r="W45" s="31" t="n">
        <v>63.07835936617148</v>
      </c>
      <c r="X45" s="31" t="n">
        <v>151.6179279284083</v>
      </c>
      <c r="Y45" s="31" t="n">
        <v>234.2546759755755</v>
      </c>
      <c r="Z45" s="31" t="n">
        <v>107.6845386746054</v>
      </c>
      <c r="AA45" s="31" t="n">
        <v>167.0758185894514</v>
      </c>
      <c r="AB45" s="31" t="n">
        <v>66.7356229092</v>
      </c>
    </row>
    <row r="46" ht="15" customHeight="1">
      <c r="B46" s="12" t="n">
        <v>2020</v>
      </c>
      <c r="C46" s="31">
        <f>'[1]2020'!C3</f>
        <v/>
      </c>
      <c r="D46" s="31">
        <f>'[1]2020'!D3</f>
        <v/>
      </c>
      <c r="E46" s="31">
        <f>'[1]2020'!E3</f>
        <v/>
      </c>
      <c r="F46" s="31">
        <f>'[1]2020'!F3</f>
        <v/>
      </c>
      <c r="G46" s="31">
        <f>'[1]2020'!G3</f>
        <v/>
      </c>
      <c r="H46" s="31">
        <f>'[1]2020'!H3</f>
        <v/>
      </c>
      <c r="I46" s="31">
        <f>'[1]2020'!I3</f>
        <v/>
      </c>
      <c r="J46" s="31">
        <f>'[1]2020'!J3</f>
        <v/>
      </c>
      <c r="K46" s="31">
        <f>'[1]2020'!K3</f>
        <v/>
      </c>
      <c r="L46" s="31">
        <f>'[1]2020'!L3</f>
        <v/>
      </c>
      <c r="M46" s="31">
        <f>'[1]2020'!M3</f>
        <v/>
      </c>
      <c r="N46" s="31">
        <f>'[1]2020'!N3</f>
        <v/>
      </c>
      <c r="O46" s="34">
        <f>SUM(C46:N46)</f>
        <v/>
      </c>
      <c r="Q46" s="31" t="n">
        <v>38.33574257133629</v>
      </c>
      <c r="R46" s="31" t="n">
        <v>30.67834291187745</v>
      </c>
      <c r="S46" s="31" t="n">
        <v>21.35268817204301</v>
      </c>
      <c r="T46" s="31" t="n">
        <v>21.04905555555555</v>
      </c>
      <c r="U46" s="31" t="n">
        <v>20.57876344086021</v>
      </c>
      <c r="V46" s="31" t="n">
        <v>56.84350000000002</v>
      </c>
      <c r="W46" s="31" t="n">
        <v>81.69397849462366</v>
      </c>
      <c r="X46" s="31" t="n">
        <v>161.2034408602151</v>
      </c>
      <c r="Y46" s="31" t="n">
        <v>148.6489455555555</v>
      </c>
      <c r="Z46" s="31" t="n">
        <v>207.9483870967742</v>
      </c>
      <c r="AA46" s="31" t="n">
        <v>154.2626111111111</v>
      </c>
      <c r="AB46" s="31" t="n">
        <v>120.95</v>
      </c>
    </row>
    <row r="47" ht="15" customHeight="1">
      <c r="B47" s="12" t="n">
        <v>2021</v>
      </c>
      <c r="C47" s="31">
        <f>'[1]2021'!C3</f>
        <v/>
      </c>
      <c r="D47" s="31">
        <f>'[1]2021'!D3</f>
        <v/>
      </c>
      <c r="E47" s="31">
        <f>'[1]2021'!E3</f>
        <v/>
      </c>
      <c r="F47" s="31">
        <f>'[1]2021'!F3</f>
        <v/>
      </c>
      <c r="G47" s="31">
        <f>'[1]2021'!G3</f>
        <v/>
      </c>
      <c r="H47" s="31">
        <f>'[1]2021'!H3</f>
        <v/>
      </c>
      <c r="I47" s="31">
        <f>'[1]2021'!I3</f>
        <v/>
      </c>
      <c r="J47" s="31">
        <f>'[1]2021'!J3</f>
        <v/>
      </c>
      <c r="K47" s="31">
        <f>'[1]2021'!K3</f>
        <v/>
      </c>
      <c r="L47" s="31">
        <f>'[1]2021'!L3</f>
        <v/>
      </c>
      <c r="M47" s="31">
        <f>'[1]2021'!M3</f>
        <v/>
      </c>
      <c r="N47" s="31">
        <f>'[1]2021'!N3</f>
        <v/>
      </c>
      <c r="O47" s="34">
        <f>SUM(C47:N47)</f>
        <v/>
      </c>
      <c r="Q47" s="31" t="n">
        <v>58.96548387096777</v>
      </c>
      <c r="R47" s="31" t="n">
        <v>38.89946428571428</v>
      </c>
      <c r="S47" s="31" t="n">
        <v>25.66279569892473</v>
      </c>
      <c r="T47" s="31" t="n">
        <v>32.28333333333333</v>
      </c>
      <c r="U47" s="31" t="n">
        <v>39.4483870967742</v>
      </c>
      <c r="V47" s="31" t="n">
        <v>43.9515</v>
      </c>
      <c r="W47" s="31" t="n">
        <v>74.11102150537636</v>
      </c>
      <c r="X47" s="31" t="n">
        <v>86.70209677419355</v>
      </c>
      <c r="Y47" s="31" t="n">
        <v>191.9616666666667</v>
      </c>
      <c r="Z47" s="31" t="n">
        <v>257.3381182795699</v>
      </c>
      <c r="AA47" s="31" t="n">
        <v>189.4975</v>
      </c>
      <c r="AB47" s="31" t="n">
        <v>132.2018817204301</v>
      </c>
    </row>
    <row r="48" ht="15" customHeight="1">
      <c r="B48" s="12" t="n">
        <v>2022</v>
      </c>
      <c r="C48" s="31">
        <f>'[1]2022'!C3</f>
        <v/>
      </c>
      <c r="D48" s="31">
        <f>'[1]2022'!D3</f>
        <v/>
      </c>
      <c r="E48" s="31">
        <f>'[1]2022'!E3</f>
        <v/>
      </c>
      <c r="F48" s="31">
        <f>'[1]2022'!F3</f>
        <v/>
      </c>
      <c r="G48" s="31">
        <f>'[1]2022'!G3</f>
        <v/>
      </c>
      <c r="H48" s="31">
        <f>'[1]2022'!H3</f>
        <v/>
      </c>
      <c r="I48" s="31">
        <f>'[1]2022'!I3</f>
        <v/>
      </c>
      <c r="J48" s="31">
        <f>'[1]2022'!J3</f>
        <v/>
      </c>
      <c r="K48" s="31">
        <f>'[1]2022'!K3</f>
        <v/>
      </c>
      <c r="L48" s="31">
        <f>'[1]2022'!L3</f>
        <v/>
      </c>
      <c r="M48" s="31">
        <f>'[1]2022'!M3</f>
        <v/>
      </c>
      <c r="N48" s="31">
        <f>'[1]2022'!N3</f>
        <v/>
      </c>
      <c r="O48" s="34">
        <f>SUM(C48:N48)</f>
        <v/>
      </c>
      <c r="Q48" s="31" t="n">
        <v>63.14860215053764</v>
      </c>
      <c r="R48" s="31" t="n">
        <v>48.9892261904762</v>
      </c>
      <c r="S48" s="31" t="n">
        <v>35.23655913978495</v>
      </c>
      <c r="T48" s="31" t="n">
        <v>40.71533333333333</v>
      </c>
      <c r="U48" s="31" t="n">
        <v>81.48172043010753</v>
      </c>
      <c r="V48" s="31" t="n">
        <v>90.4268888888889</v>
      </c>
      <c r="W48" s="31" t="n">
        <v>119.9963440860215</v>
      </c>
      <c r="X48" s="31" t="n">
        <v>197.5825268817204</v>
      </c>
      <c r="Y48" s="31" t="n">
        <v>186.1600555555556</v>
      </c>
      <c r="Z48" s="31" t="n">
        <v>154.8290322580645</v>
      </c>
      <c r="AA48" s="31" t="n">
        <v>92.51855555555557</v>
      </c>
      <c r="AB48" s="31" t="n">
        <v>76.38876344086023</v>
      </c>
    </row>
    <row r="49" ht="15" customHeight="1">
      <c r="B49" s="12" t="n">
        <v>2023</v>
      </c>
      <c r="C49" s="31">
        <f>'[1]2023'!C3</f>
        <v/>
      </c>
      <c r="D49" s="31">
        <f>'[1]2023'!D3</f>
        <v/>
      </c>
      <c r="E49" s="31">
        <f>'[1]2023'!E3</f>
        <v/>
      </c>
      <c r="F49" s="31">
        <f>'[1]2023'!F3</f>
        <v/>
      </c>
      <c r="G49" s="31">
        <f>'[1]2023'!G3</f>
        <v/>
      </c>
      <c r="H49" s="31">
        <f>'[1]2023'!H3</f>
        <v/>
      </c>
      <c r="I49" s="31">
        <f>'[1]2023'!I3</f>
        <v/>
      </c>
      <c r="J49" s="31">
        <f>'[1]2023'!J3</f>
        <v/>
      </c>
      <c r="K49" s="31">
        <f>'[1]2023'!K3</f>
        <v/>
      </c>
      <c r="L49" s="31">
        <f>'[1]2023'!L3</f>
        <v/>
      </c>
      <c r="M49" s="31">
        <f>'[1]2023'!M3</f>
        <v/>
      </c>
      <c r="N49" s="31">
        <f>'[1]2023'!N3</f>
        <v/>
      </c>
      <c r="O49" s="34">
        <f>SUM(C49:N49)</f>
        <v/>
      </c>
      <c r="Q49" s="31" t="n">
        <v>65.29908602150539</v>
      </c>
      <c r="R49" s="31" t="n">
        <v>36.70952380952381</v>
      </c>
      <c r="S49" s="31" t="n">
        <v>22.85564516129033</v>
      </c>
      <c r="T49" s="31" t="n">
        <v>27.98811111111111</v>
      </c>
      <c r="U49" s="31" t="n">
        <v>48.20483870967742</v>
      </c>
      <c r="V49" s="31" t="n">
        <v>83.42533333333333</v>
      </c>
      <c r="W49" s="31" t="n">
        <v>171.2883870967742</v>
      </c>
      <c r="X49" s="31" t="n">
        <v>200.9475870967742</v>
      </c>
      <c r="Y49" s="31" t="n">
        <v>206.59583</v>
      </c>
      <c r="Z49" s="31" t="n">
        <v>169.9381677419355</v>
      </c>
      <c r="AA49" s="31" t="n">
        <v>123.92639</v>
      </c>
      <c r="AB49" s="31" t="n">
        <v>83</v>
      </c>
    </row>
    <row r="50" ht="15" customHeight="1">
      <c r="B50" s="14" t="n">
        <v>2024</v>
      </c>
      <c r="C50" s="35">
        <f>'[1]2024'!C3</f>
        <v/>
      </c>
      <c r="D50" s="35">
        <f>'[1]2024'!D3</f>
        <v/>
      </c>
      <c r="E50" s="35">
        <f>'[1]2024'!E3</f>
        <v/>
      </c>
      <c r="F50" s="35">
        <f>'[1]2024'!F3</f>
        <v/>
      </c>
      <c r="G50" s="35">
        <f>'[1]2024'!G3</f>
        <v/>
      </c>
      <c r="H50" s="35">
        <f>'[1]2024'!H3</f>
        <v/>
      </c>
      <c r="I50" s="35">
        <f>'[1]2024'!I3</f>
        <v/>
      </c>
      <c r="J50" s="35">
        <f>'[1]2024'!J3</f>
        <v/>
      </c>
      <c r="K50" s="35">
        <f>'[1]2024'!K3</f>
        <v/>
      </c>
      <c r="L50" s="35">
        <f>'[1]2024'!L3</f>
        <v/>
      </c>
      <c r="M50" s="35">
        <f>'[1]2024'!M3</f>
        <v/>
      </c>
      <c r="N50" s="35">
        <f>'[1]2024'!N3</f>
        <v/>
      </c>
      <c r="O50" s="36">
        <f>SUM(C50:N50)</f>
        <v/>
      </c>
      <c r="P50" s="4" t="n"/>
      <c r="Q50" s="31" t="n">
        <v>42.16262580645162</v>
      </c>
      <c r="R50" s="31" t="n">
        <v>32.27</v>
      </c>
      <c r="S50" s="31" t="n">
        <v>20.51613225806452</v>
      </c>
      <c r="T50" s="31" t="n">
        <v>23.57361333333333</v>
      </c>
      <c r="U50" s="31" t="n">
        <v>55.27150967741935</v>
      </c>
      <c r="V50" s="31" t="n">
        <v>51.7</v>
      </c>
      <c r="W50" s="31" t="n">
        <v>142.8628967741936</v>
      </c>
      <c r="X50" s="31" t="n">
        <v>140.4959677419355</v>
      </c>
      <c r="Y50" s="31" t="n">
        <v>240.575</v>
      </c>
      <c r="Z50" s="31" t="n">
        <v>137.512093548387</v>
      </c>
      <c r="AA50" s="31" t="n">
        <v>113.1712962962963</v>
      </c>
      <c r="AB50" s="31" t="n">
        <v>112.0967806451613</v>
      </c>
    </row>
    <row r="51" ht="15" customHeight="1">
      <c r="B51" s="17" t="n">
        <v>2025</v>
      </c>
      <c r="C51" s="31" t="n">
        <v>22.8188779</v>
      </c>
      <c r="D51" s="31" t="n">
        <v>21.4393793</v>
      </c>
      <c r="E51" s="31" t="n">
        <v>23.5093544</v>
      </c>
      <c r="F51" s="31" t="n">
        <v>22.266451</v>
      </c>
      <c r="G51" s="31" t="n">
        <v>26.1975568</v>
      </c>
      <c r="H51" s="31" t="n">
        <v>27.2371357</v>
      </c>
      <c r="I51" s="31" t="n">
        <v>36.3382866</v>
      </c>
      <c r="J51" s="31" t="n">
        <v>36.4025192</v>
      </c>
      <c r="K51" s="31" t="n">
        <v>46.9424696</v>
      </c>
      <c r="L51" s="31" t="n">
        <v>57.2729624</v>
      </c>
      <c r="M51" s="31" t="n">
        <v>57.5102968</v>
      </c>
      <c r="N51" s="31" t="n">
        <v>50.9365168</v>
      </c>
      <c r="O51" s="36">
        <f>SUM(C51:N51)</f>
        <v/>
      </c>
      <c r="P51" s="4" t="n"/>
      <c r="Q51" s="31" t="n">
        <v>58.05779677419355</v>
      </c>
      <c r="R51" s="31" t="n">
        <v>38.39</v>
      </c>
      <c r="S51" s="31" t="n">
        <v>31.14784838709678</v>
      </c>
      <c r="T51" s="31" t="n">
        <v>31.90000666666667</v>
      </c>
      <c r="U51" s="31" t="n">
        <v>59.98</v>
      </c>
      <c r="V51" s="31" t="n">
        <v>106.7763833333333</v>
      </c>
      <c r="W51" s="31" t="n">
        <v>110.5309129032258</v>
      </c>
      <c r="X51" s="31" t="n">
        <v>136.3481161290323</v>
      </c>
      <c r="Y51" s="31" t="n">
        <v>244.4555533333333</v>
      </c>
      <c r="Z51" s="31" t="n">
        <v>200.3400548387097</v>
      </c>
      <c r="AA51" s="31" t="n">
        <v>316.8236133333333</v>
      </c>
      <c r="AB51" s="31" t="n">
        <v>148.0094129032258</v>
      </c>
    </row>
    <row r="52" ht="15" customHeight="1">
      <c r="B52" s="17" t="n">
        <v>2026</v>
      </c>
      <c r="C52" s="31" t="n">
        <v>26.0212938</v>
      </c>
      <c r="D52" s="31" t="n">
        <v>24.0013245</v>
      </c>
      <c r="E52" s="31" t="n">
        <v>27.4542858</v>
      </c>
      <c r="F52" s="31" t="n">
        <v>24.151494</v>
      </c>
      <c r="G52" s="31" t="n">
        <v>18.9222084</v>
      </c>
      <c r="H52" s="31" t="n">
        <v>18.0937568</v>
      </c>
      <c r="I52" s="31" t="n">
        <v>16.6788436</v>
      </c>
      <c r="J52" s="31" t="n">
        <v>21.2449369</v>
      </c>
      <c r="K52" s="31" t="n">
        <v>37.912</v>
      </c>
      <c r="L52" s="31" t="n">
        <v>15.9484973</v>
      </c>
      <c r="M52" s="31" t="n"/>
      <c r="N52" s="31" t="n"/>
      <c r="O52" s="37" t="n"/>
      <c r="P52" s="4" t="n"/>
      <c r="Q52" t="n">
        <v>69.90000000000001</v>
      </c>
      <c r="R52" t="n">
        <v>44.2</v>
      </c>
      <c r="S52" t="n">
        <v>40.7</v>
      </c>
      <c r="T52" t="n">
        <v>28.51</v>
      </c>
      <c r="U52" t="n">
        <v>37.09</v>
      </c>
      <c r="V52" t="n">
        <v>47.41</v>
      </c>
      <c r="W52" s="31" t="n">
        <v>57.05</v>
      </c>
      <c r="X52" s="31" t="n">
        <v>80.45999999999999</v>
      </c>
      <c r="Y52" s="31" t="n">
        <v>250.98</v>
      </c>
      <c r="Z52" s="31" t="n">
        <v>205.92</v>
      </c>
    </row>
    <row r="53" ht="15" customHeight="1">
      <c r="B53" s="17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7" t="n"/>
      <c r="P53" s="4" t="n"/>
    </row>
    <row r="54" ht="15" customHeight="1">
      <c r="B54" s="17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7" t="n"/>
      <c r="P54" s="4" t="n"/>
    </row>
    <row r="55" ht="15" customHeight="1">
      <c r="B55" s="19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9" t="n"/>
      <c r="P55" s="4" t="n"/>
    </row>
    <row r="56" ht="15" customHeight="1">
      <c r="B56" s="19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9" t="n"/>
      <c r="P56" s="4" t="n"/>
    </row>
    <row r="57" ht="15" customHeight="1">
      <c r="B57" s="19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9" t="n"/>
      <c r="P57" s="4" t="n"/>
    </row>
    <row r="58" ht="15" customHeight="1">
      <c r="B58" s="26" t="n"/>
      <c r="C58" s="38" t="n"/>
      <c r="D58" s="38" t="n"/>
      <c r="E58" s="38" t="n"/>
      <c r="F58" s="38" t="n"/>
      <c r="G58" s="38" t="n"/>
      <c r="H58" s="38" t="n"/>
      <c r="I58" s="38" t="n"/>
      <c r="J58" s="38" t="n"/>
      <c r="K58" s="38" t="n"/>
      <c r="L58" s="38" t="n"/>
      <c r="M58" s="38" t="n"/>
      <c r="N58" s="38" t="n"/>
      <c r="O58" s="39" t="n"/>
      <c r="P58" s="4" t="n"/>
    </row>
    <row r="59" ht="15" customHeight="1"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9" t="n"/>
      <c r="P59" s="4" t="n"/>
    </row>
    <row r="60" ht="15" customHeight="1">
      <c r="B60" s="19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39" t="n"/>
      <c r="P60" s="4" t="n"/>
    </row>
    <row r="61" ht="15" customHeight="1">
      <c r="B61" s="19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9" t="n"/>
      <c r="P61" s="4" t="n"/>
    </row>
    <row r="62" ht="15" customHeight="1">
      <c r="B62" s="19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9" t="n"/>
      <c r="P62" s="4" t="n"/>
    </row>
    <row r="63" ht="15" customHeight="1">
      <c r="B63" s="19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9" t="n"/>
      <c r="P63" s="4" t="n"/>
    </row>
    <row r="64" ht="15" customHeight="1">
      <c r="B64" s="19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9" t="n"/>
      <c r="P64" s="4" t="n"/>
    </row>
    <row r="65" ht="15" customHeight="1">
      <c r="B65" s="19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9" t="n"/>
      <c r="P65" s="4" t="n"/>
    </row>
    <row r="66" ht="15" customHeight="1">
      <c r="B66" s="19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9" t="n"/>
      <c r="P66" s="4" t="n"/>
    </row>
    <row r="67" ht="15" customHeight="1">
      <c r="B67" s="19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9" t="n"/>
      <c r="P67" s="4" t="n"/>
    </row>
    <row r="68" ht="15" customHeight="1">
      <c r="B68" s="19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9" t="n"/>
      <c r="P68" s="4" t="n"/>
    </row>
    <row r="71"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</row>
    <row r="74">
      <c r="C74" s="27" t="n"/>
      <c r="Q74" s="28" t="n"/>
    </row>
    <row r="75" ht="15" customHeight="1"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</row>
    <row r="76">
      <c r="C76" s="29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30" t="n"/>
    </row>
    <row r="81"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</row>
  </sheetData>
  <mergeCells count="5">
    <mergeCell ref="C74:I74"/>
    <mergeCell ref="Q74:W74"/>
    <mergeCell ref="Q1:AB1"/>
    <mergeCell ref="C1:O1"/>
    <mergeCell ref="B58:B59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 Ky Hai</dc:creator>
  <dcterms:created xsi:type="dcterms:W3CDTF">2026-07-10T01:59:18Z</dcterms:created>
  <dcterms:modified xsi:type="dcterms:W3CDTF">2026-10-14T04:15:36Z</dcterms:modified>
  <cp:lastModifiedBy>Le Xuan Anh Minh</cp:lastModifiedBy>
</cp:coreProperties>
</file>